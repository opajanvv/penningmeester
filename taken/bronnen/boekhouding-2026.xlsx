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G Wijkkas" sheetId="1" state="visible" r:id="rId1"/>
    <sheet xmlns:r="http://schemas.openxmlformats.org/officeDocument/2006/relationships" name="SKG Exploitatie" sheetId="2" state="visible" r:id="rId2"/>
    <sheet xmlns:r="http://schemas.openxmlformats.org/officeDocument/2006/relationships" name="Journaal" sheetId="3" state="visible" r:id="rId3"/>
    <sheet xmlns:r="http://schemas.openxmlformats.org/officeDocument/2006/relationships" name="Kolommenbalans" sheetId="4" state="visible" r:id="rId4"/>
    <sheet xmlns:r="http://schemas.openxmlformats.org/officeDocument/2006/relationships" name="Jaarcijfers" sheetId="5" state="visible" r:id="rId5"/>
    <sheet xmlns:r="http://schemas.openxmlformats.org/officeDocument/2006/relationships" name="Kas" sheetId="6" state="visible" r:id="rId6"/>
    <sheet xmlns:r="http://schemas.openxmlformats.org/officeDocument/2006/relationships" name="Verhuur en Buffet" sheetId="7" state="visible" r:id="rId7"/>
    <sheet xmlns:r="http://schemas.openxmlformats.org/officeDocument/2006/relationships" name="Grootboekschem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C1" t="inlineStr">
        <is>
          <t>Beginsaldo</t>
        </is>
      </c>
      <c r="E1" t="n">
        <v>0</v>
      </c>
    </row>
    <row r="2">
      <c r="C2" t="inlineStr">
        <is>
          <t>Mutaties</t>
        </is>
      </c>
      <c r="E2">
        <f>SUM(E5:E2000)</f>
        <v/>
      </c>
    </row>
    <row r="3">
      <c r="C3" t="inlineStr">
        <is>
          <t>Eindsaldo</t>
        </is>
      </c>
      <c r="E3">
        <f>SUM(E1:E2)</f>
        <v/>
      </c>
    </row>
    <row r="4">
      <c r="A4" s="1" t="inlineStr">
        <is>
          <t>Jaar rekeningafschrift</t>
        </is>
      </c>
      <c r="B4" s="1" t="inlineStr">
        <is>
          <t>Nummer rekeningafschrift</t>
        </is>
      </c>
      <c r="C4" s="1" t="inlineStr">
        <is>
          <t>RekeningNummer Rekeninghouder</t>
        </is>
      </c>
      <c r="D4" s="1" t="inlineStr">
        <is>
          <t>Datum</t>
        </is>
      </c>
      <c r="E4" s="1" t="inlineStr">
        <is>
          <t>Bedrag</t>
        </is>
      </c>
      <c r="F4" s="1" t="inlineStr">
        <is>
          <t>Valuta</t>
        </is>
      </c>
      <c r="G4" s="1" t="inlineStr">
        <is>
          <t>Rekeningnummer begunstigde</t>
        </is>
      </c>
      <c r="H4" s="1" t="inlineStr">
        <is>
          <t>Naam begunstigde</t>
        </is>
      </c>
      <c r="I4" s="1" t="inlineStr">
        <is>
          <t>Adres begunstigde</t>
        </is>
      </c>
      <c r="J4" s="1" t="inlineStr">
        <is>
          <t>Woonplaats begunstigde</t>
        </is>
      </c>
      <c r="K4" s="1" t="inlineStr">
        <is>
          <t>Omschrijving</t>
        </is>
      </c>
      <c r="L4" s="1" t="inlineStr">
        <is>
          <t>Kenmerk</t>
        </is>
      </c>
      <c r="M4" s="1" t="inlineStr">
        <is>
          <t>EndToEndId</t>
        </is>
      </c>
      <c r="N4" s="1" t="inlineStr">
        <is>
          <t>BatchInfoId</t>
        </is>
      </c>
      <c r="O4" s="1" t="inlineStr">
        <is>
          <t>MandaatId</t>
        </is>
      </c>
      <c r="P4" s="1" t="inlineStr">
        <is>
          <t>FoutCode</t>
        </is>
      </c>
      <c r="Q4" s="1" t="inlineStr">
        <is>
          <t>FoutOmschrijving</t>
        </is>
      </c>
      <c r="R4" s="1" t="inlineStr">
        <is>
          <t>BankTransactieCode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C1" t="inlineStr">
        <is>
          <t>Beginsaldo</t>
        </is>
      </c>
      <c r="E1" t="n">
        <v>0</v>
      </c>
    </row>
    <row r="2">
      <c r="C2" t="inlineStr">
        <is>
          <t>Mutaties</t>
        </is>
      </c>
      <c r="E2">
        <f>SUM(E5:E2000)</f>
        <v/>
      </c>
    </row>
    <row r="3">
      <c r="C3" t="inlineStr">
        <is>
          <t>Eindsaldo</t>
        </is>
      </c>
      <c r="E3">
        <f>SUM(E1:E2)</f>
        <v/>
      </c>
    </row>
    <row r="4">
      <c r="A4" s="1" t="inlineStr">
        <is>
          <t>Jaar rekeningafschrift</t>
        </is>
      </c>
      <c r="B4" s="1" t="inlineStr">
        <is>
          <t>Nummer rekeningafschrift</t>
        </is>
      </c>
      <c r="C4" s="1" t="inlineStr">
        <is>
          <t>RekeningNummer Rekeninghouder</t>
        </is>
      </c>
      <c r="D4" s="1" t="inlineStr">
        <is>
          <t>Datum</t>
        </is>
      </c>
      <c r="E4" s="1" t="inlineStr">
        <is>
          <t>Bedrag</t>
        </is>
      </c>
      <c r="F4" s="1" t="inlineStr">
        <is>
          <t>Valuta</t>
        </is>
      </c>
      <c r="G4" s="1" t="inlineStr">
        <is>
          <t>Rekeningnummer begunstigde</t>
        </is>
      </c>
      <c r="H4" s="1" t="inlineStr">
        <is>
          <t>Naam begunstigde</t>
        </is>
      </c>
      <c r="I4" s="1" t="inlineStr">
        <is>
          <t>Adres begunstigde</t>
        </is>
      </c>
      <c r="J4" s="1" t="inlineStr">
        <is>
          <t>Woonplaats begunstigde</t>
        </is>
      </c>
      <c r="K4" s="1" t="inlineStr">
        <is>
          <t>Omschrijving</t>
        </is>
      </c>
      <c r="L4" s="1" t="inlineStr">
        <is>
          <t>Kenmerk</t>
        </is>
      </c>
      <c r="M4" s="1" t="inlineStr">
        <is>
          <t>EndToEndId</t>
        </is>
      </c>
      <c r="N4" s="1" t="inlineStr">
        <is>
          <t>BatchInfoId</t>
        </is>
      </c>
      <c r="O4" s="1" t="inlineStr">
        <is>
          <t>MandaatId</t>
        </is>
      </c>
      <c r="P4" s="1" t="inlineStr">
        <is>
          <t>FoutCode</t>
        </is>
      </c>
      <c r="Q4" s="1" t="inlineStr">
        <is>
          <t>FoutOmschrijving</t>
        </is>
      </c>
      <c r="R4" s="1" t="inlineStr">
        <is>
          <t>BankTransactieCode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0" customWidth="1" min="4" max="4"/>
    <col width="12" customWidth="1" min="5" max="5"/>
    <col width="12" customWidth="1" min="6" max="6"/>
    <col width="40" customWidth="1" min="7" max="7"/>
    <col width="8" customWidth="1" min="8" max="8"/>
    <col width="30" customWidth="1" min="9" max="9"/>
    <col width="30" customWidth="1" min="13" max="13"/>
  </cols>
  <sheetData>
    <row r="1">
      <c r="A1" s="2" t="inlineStr">
        <is>
          <t>JOURNAAL 2026</t>
        </is>
      </c>
    </row>
    <row r="4">
      <c r="B4">
        <f>IFERROR(VLOOKUP(A4,Grootboekschema!$A$1:$B$129,2,0), "")</f>
        <v/>
      </c>
    </row>
    <row r="5">
      <c r="B5">
        <f>IFERROR(VLOOKUP(A5,Grootboekschema!$A$1:$B$129,2,0), "")</f>
        <v/>
      </c>
    </row>
    <row r="6">
      <c r="B6">
        <f>IFERROR(VLOOKUP(A6,Grootboekschema!$A$1:$B$129,2,0), "")</f>
        <v/>
      </c>
    </row>
    <row r="7">
      <c r="B7">
        <f>IFERROR(VLOOKUP(A7,Grootboekschema!$A$1:$B$129,2,0), "")</f>
        <v/>
      </c>
    </row>
    <row r="8">
      <c r="B8">
        <f>IFERROR(VLOOKUP(A8,Grootboekschema!$A$1:$B$129,2,0), "")</f>
        <v/>
      </c>
    </row>
    <row r="9">
      <c r="B9">
        <f>IFERROR(VLOOKUP(A9,Grootboekschema!$A$1:$B$129,2,0), "")</f>
        <v/>
      </c>
    </row>
    <row r="10">
      <c r="B10">
        <f>IFERROR(VLOOKUP(A10,Grootboekschema!$A$1:$B$129,2,0), "")</f>
        <v/>
      </c>
    </row>
    <row r="11">
      <c r="B11">
        <f>IFERROR(VLOOKUP(A11,Grootboekschema!$A$1:$B$129,2,0), "")</f>
        <v/>
      </c>
    </row>
    <row r="12">
      <c r="B12">
        <f>IFERROR(VLOOKUP(A12,Grootboekschema!$A$1:$B$129,2,0), "")</f>
        <v/>
      </c>
    </row>
    <row r="13">
      <c r="B13">
        <f>IFERROR(VLOOKUP(A13,Grootboekschema!$A$1:$B$129,2,0), "")</f>
        <v/>
      </c>
    </row>
    <row r="14">
      <c r="B14">
        <f>IFERROR(VLOOKUP(A14,Grootboekschema!$A$1:$B$129,2,0), "")</f>
        <v/>
      </c>
    </row>
    <row r="15">
      <c r="B15">
        <f>IFERROR(VLOOKUP(A15,Grootboekschema!$A$1:$B$129,2,0), "")</f>
        <v/>
      </c>
    </row>
    <row r="16">
      <c r="B16">
        <f>IFERROR(VLOOKUP(A16,Grootboekschema!$A$1:$B$129,2,0), "")</f>
        <v/>
      </c>
    </row>
    <row r="17">
      <c r="B17">
        <f>IFERROR(VLOOKUP(A17,Grootboekschema!$A$1:$B$129,2,0), "")</f>
        <v/>
      </c>
    </row>
    <row r="18">
      <c r="B18">
        <f>IFERROR(VLOOKUP(A18,Grootboekschema!$A$1:$B$129,2,0), "")</f>
        <v/>
      </c>
    </row>
    <row r="19">
      <c r="B19">
        <f>IFERROR(VLOOKUP(A19,Grootboekschema!$A$1:$B$129,2,0), "")</f>
        <v/>
      </c>
    </row>
    <row r="20">
      <c r="B20">
        <f>IFERROR(VLOOKUP(A20,Grootboekschema!$A$1:$B$129,2,0), "")</f>
        <v/>
      </c>
    </row>
    <row r="21">
      <c r="B21">
        <f>IFERROR(VLOOKUP(A21,Grootboekschema!$A$1:$B$129,2,0), "")</f>
        <v/>
      </c>
    </row>
    <row r="22">
      <c r="B22">
        <f>IFERROR(VLOOKUP(A22,Grootboekschema!$A$1:$B$129,2,0), "")</f>
        <v/>
      </c>
    </row>
    <row r="23">
      <c r="B23">
        <f>IFERROR(VLOOKUP(A23,Grootboekschema!$A$1:$B$129,2,0), "")</f>
        <v/>
      </c>
    </row>
    <row r="24">
      <c r="B24">
        <f>IFERROR(VLOOKUP(A24,Grootboekschema!$A$1:$B$129,2,0), "")</f>
        <v/>
      </c>
    </row>
    <row r="25">
      <c r="B25">
        <f>IFERROR(VLOOKUP(A25,Grootboekschema!$A$1:$B$129,2,0), "")</f>
        <v/>
      </c>
    </row>
    <row r="26">
      <c r="B26">
        <f>IFERROR(VLOOKUP(A26,Grootboekschema!$A$1:$B$129,2,0), "")</f>
        <v/>
      </c>
    </row>
    <row r="27">
      <c r="B27">
        <f>IFERROR(VLOOKUP(A27,Grootboekschema!$A$1:$B$129,2,0), "")</f>
        <v/>
      </c>
    </row>
    <row r="28">
      <c r="B28">
        <f>IFERROR(VLOOKUP(A28,Grootboekschema!$A$1:$B$129,2,0), "")</f>
        <v/>
      </c>
    </row>
    <row r="29">
      <c r="B29">
        <f>IFERROR(VLOOKUP(A29,Grootboekschema!$A$1:$B$129,2,0), "")</f>
        <v/>
      </c>
    </row>
    <row r="30">
      <c r="B30">
        <f>IFERROR(VLOOKUP(A30,Grootboekschema!$A$1:$B$129,2,0), "")</f>
        <v/>
      </c>
    </row>
    <row r="31">
      <c r="B31">
        <f>IFERROR(VLOOKUP(A31,Grootboekschema!$A$1:$B$129,2,0), "")</f>
        <v/>
      </c>
    </row>
    <row r="32">
      <c r="B32">
        <f>IFERROR(VLOOKUP(A32,Grootboekschema!$A$1:$B$129,2,0), "")</f>
        <v/>
      </c>
    </row>
    <row r="33">
      <c r="B33">
        <f>IFERROR(VLOOKUP(A33,Grootboekschema!$A$1:$B$129,2,0), "")</f>
        <v/>
      </c>
    </row>
    <row r="34">
      <c r="B34">
        <f>IFERROR(VLOOKUP(A34,Grootboekschema!$A$1:$B$129,2,0), "")</f>
        <v/>
      </c>
    </row>
    <row r="35">
      <c r="B35">
        <f>IFERROR(VLOOKUP(A35,Grootboekschema!$A$1:$B$129,2,0), "")</f>
        <v/>
      </c>
    </row>
    <row r="36">
      <c r="B36">
        <f>IFERROR(VLOOKUP(A36,Grootboekschema!$A$1:$B$129,2,0), "")</f>
        <v/>
      </c>
    </row>
    <row r="37">
      <c r="B37">
        <f>IFERROR(VLOOKUP(A37,Grootboekschema!$A$1:$B$129,2,0), "")</f>
        <v/>
      </c>
    </row>
    <row r="38">
      <c r="B38">
        <f>IFERROR(VLOOKUP(A38,Grootboekschema!$A$1:$B$129,2,0), "")</f>
        <v/>
      </c>
    </row>
    <row r="39">
      <c r="B39">
        <f>IFERROR(VLOOKUP(A39,Grootboekschema!$A$1:$B$129,2,0), "")</f>
        <v/>
      </c>
    </row>
    <row r="40">
      <c r="B40">
        <f>IFERROR(VLOOKUP(A40,Grootboekschema!$A$1:$B$129,2,0), "")</f>
        <v/>
      </c>
    </row>
    <row r="41">
      <c r="B41">
        <f>IFERROR(VLOOKUP(A41,Grootboekschema!$A$1:$B$129,2,0), "")</f>
        <v/>
      </c>
    </row>
    <row r="42">
      <c r="B42">
        <f>IFERROR(VLOOKUP(A42,Grootboekschema!$A$1:$B$129,2,0), "")</f>
        <v/>
      </c>
    </row>
    <row r="43">
      <c r="B43">
        <f>IFERROR(VLOOKUP(A43,Grootboekschema!$A$1:$B$129,2,0), "")</f>
        <v/>
      </c>
    </row>
    <row r="44">
      <c r="B44">
        <f>IFERROR(VLOOKUP(A44,Grootboekschema!$A$1:$B$129,2,0), "")</f>
        <v/>
      </c>
    </row>
    <row r="45">
      <c r="B45">
        <f>IFERROR(VLOOKUP(A45,Grootboekschema!$A$1:$B$129,2,0), "")</f>
        <v/>
      </c>
    </row>
    <row r="46">
      <c r="B46">
        <f>IFERROR(VLOOKUP(A46,Grootboekschema!$A$1:$B$129,2,0), "")</f>
        <v/>
      </c>
    </row>
    <row r="47">
      <c r="B47">
        <f>IFERROR(VLOOKUP(A47,Grootboekschema!$A$1:$B$129,2,0), "")</f>
        <v/>
      </c>
    </row>
    <row r="48">
      <c r="B48">
        <f>IFERROR(VLOOKUP(A48,Grootboekschema!$A$1:$B$129,2,0), "")</f>
        <v/>
      </c>
    </row>
    <row r="49">
      <c r="B49">
        <f>IFERROR(VLOOKUP(A49,Grootboekschema!$A$1:$B$129,2,0), "")</f>
        <v/>
      </c>
    </row>
    <row r="50">
      <c r="B50">
        <f>IFERROR(VLOOKUP(A50,Grootboekschema!$A$1:$B$129,2,0), "")</f>
        <v/>
      </c>
    </row>
    <row r="51">
      <c r="B51">
        <f>IFERROR(VLOOKUP(A51,Grootboekschema!$A$1:$B$129,2,0), "")</f>
        <v/>
      </c>
    </row>
    <row r="52">
      <c r="B52">
        <f>IFERROR(VLOOKUP(A52,Grootboekschema!$A$1:$B$129,2,0), "")</f>
        <v/>
      </c>
    </row>
    <row r="53">
      <c r="B53">
        <f>IFERROR(VLOOKUP(A53,Grootboekschema!$A$1:$B$129,2,0), "")</f>
        <v/>
      </c>
    </row>
    <row r="54">
      <c r="B54">
        <f>IFERROR(VLOOKUP(A54,Grootboekschema!$A$1:$B$129,2,0), "")</f>
        <v/>
      </c>
    </row>
    <row r="55">
      <c r="B55">
        <f>IFERROR(VLOOKUP(A55,Grootboekschema!$A$1:$B$129,2,0), "")</f>
        <v/>
      </c>
    </row>
    <row r="56">
      <c r="B56">
        <f>IFERROR(VLOOKUP(A56,Grootboekschema!$A$1:$B$129,2,0), "")</f>
        <v/>
      </c>
    </row>
    <row r="57">
      <c r="B57">
        <f>IFERROR(VLOOKUP(A57,Grootboekschema!$A$1:$B$129,2,0), "")</f>
        <v/>
      </c>
    </row>
    <row r="58">
      <c r="B58">
        <f>IFERROR(VLOOKUP(A58,Grootboekschema!$A$1:$B$129,2,0), "")</f>
        <v/>
      </c>
    </row>
    <row r="59">
      <c r="B59">
        <f>IFERROR(VLOOKUP(A59,Grootboekschema!$A$1:$B$129,2,0), "")</f>
        <v/>
      </c>
    </row>
    <row r="60">
      <c r="B60">
        <f>IFERROR(VLOOKUP(A60,Grootboekschema!$A$1:$B$129,2,0), "")</f>
        <v/>
      </c>
    </row>
    <row r="61">
      <c r="B61">
        <f>IFERROR(VLOOKUP(A61,Grootboekschema!$A$1:$B$129,2,0), "")</f>
        <v/>
      </c>
    </row>
    <row r="62">
      <c r="B62">
        <f>IFERROR(VLOOKUP(A62,Grootboekschema!$A$1:$B$129,2,0), "")</f>
        <v/>
      </c>
    </row>
    <row r="63">
      <c r="B63">
        <f>IFERROR(VLOOKUP(A63,Grootboekschema!$A$1:$B$129,2,0), "")</f>
        <v/>
      </c>
    </row>
    <row r="64">
      <c r="B64">
        <f>IFERROR(VLOOKUP(A64,Grootboekschema!$A$1:$B$129,2,0), "")</f>
        <v/>
      </c>
    </row>
    <row r="65">
      <c r="B65">
        <f>IFERROR(VLOOKUP(A65,Grootboekschema!$A$1:$B$129,2,0), "")</f>
        <v/>
      </c>
    </row>
    <row r="66">
      <c r="B66">
        <f>IFERROR(VLOOKUP(A66,Grootboekschema!$A$1:$B$129,2,0), "")</f>
        <v/>
      </c>
    </row>
    <row r="67">
      <c r="B67">
        <f>IFERROR(VLOOKUP(A67,Grootboekschema!$A$1:$B$129,2,0), "")</f>
        <v/>
      </c>
    </row>
    <row r="68">
      <c r="B68">
        <f>IFERROR(VLOOKUP(A68,Grootboekschema!$A$1:$B$129,2,0), "")</f>
        <v/>
      </c>
    </row>
    <row r="69">
      <c r="B69">
        <f>IFERROR(VLOOKUP(A69,Grootboekschema!$A$1:$B$129,2,0), "")</f>
        <v/>
      </c>
    </row>
    <row r="70">
      <c r="B70">
        <f>IFERROR(VLOOKUP(A70,Grootboekschema!$A$1:$B$129,2,0), "")</f>
        <v/>
      </c>
    </row>
    <row r="71">
      <c r="B71">
        <f>IFERROR(VLOOKUP(A71,Grootboekschema!$A$1:$B$129,2,0), "")</f>
        <v/>
      </c>
    </row>
    <row r="72">
      <c r="B72">
        <f>IFERROR(VLOOKUP(A72,Grootboekschema!$A$1:$B$129,2,0), "")</f>
        <v/>
      </c>
    </row>
    <row r="73">
      <c r="B73">
        <f>IFERROR(VLOOKUP(A73,Grootboekschema!$A$1:$B$129,2,0), "")</f>
        <v/>
      </c>
    </row>
    <row r="74">
      <c r="B74">
        <f>IFERROR(VLOOKUP(A74,Grootboekschema!$A$1:$B$129,2,0), "")</f>
        <v/>
      </c>
    </row>
    <row r="75">
      <c r="B75">
        <f>IFERROR(VLOOKUP(A75,Grootboekschema!$A$1:$B$129,2,0), "")</f>
        <v/>
      </c>
    </row>
    <row r="76">
      <c r="B76">
        <f>IFERROR(VLOOKUP(A76,Grootboekschema!$A$1:$B$129,2,0), "")</f>
        <v/>
      </c>
    </row>
    <row r="77">
      <c r="B77">
        <f>IFERROR(VLOOKUP(A77,Grootboekschema!$A$1:$B$129,2,0), "")</f>
        <v/>
      </c>
    </row>
    <row r="78">
      <c r="B78">
        <f>IFERROR(VLOOKUP(A78,Grootboekschema!$A$1:$B$129,2,0), "")</f>
        <v/>
      </c>
    </row>
    <row r="79">
      <c r="B79">
        <f>IFERROR(VLOOKUP(A79,Grootboekschema!$A$1:$B$129,2,0), "")</f>
        <v/>
      </c>
    </row>
    <row r="80">
      <c r="B80">
        <f>IFERROR(VLOOKUP(A80,Grootboekschema!$A$1:$B$129,2,0), "")</f>
        <v/>
      </c>
    </row>
    <row r="81">
      <c r="B81">
        <f>IFERROR(VLOOKUP(A81,Grootboekschema!$A$1:$B$129,2,0), "")</f>
        <v/>
      </c>
    </row>
    <row r="82">
      <c r="B82">
        <f>IFERROR(VLOOKUP(A82,Grootboekschema!$A$1:$B$129,2,0), "")</f>
        <v/>
      </c>
    </row>
    <row r="83">
      <c r="B83">
        <f>IFERROR(VLOOKUP(A83,Grootboekschema!$A$1:$B$129,2,0), "")</f>
        <v/>
      </c>
    </row>
    <row r="84">
      <c r="B84">
        <f>IFERROR(VLOOKUP(A84,Grootboekschema!$A$1:$B$129,2,0), "")</f>
        <v/>
      </c>
    </row>
    <row r="85">
      <c r="B85">
        <f>IFERROR(VLOOKUP(A85,Grootboekschema!$A$1:$B$129,2,0), "")</f>
        <v/>
      </c>
    </row>
    <row r="86">
      <c r="B86">
        <f>IFERROR(VLOOKUP(A86,Grootboekschema!$A$1:$B$129,2,0), "")</f>
        <v/>
      </c>
    </row>
    <row r="87">
      <c r="B87">
        <f>IFERROR(VLOOKUP(A87,Grootboekschema!$A$1:$B$129,2,0), "")</f>
        <v/>
      </c>
    </row>
    <row r="88">
      <c r="B88">
        <f>IFERROR(VLOOKUP(A88,Grootboekschema!$A$1:$B$129,2,0), "")</f>
        <v/>
      </c>
    </row>
    <row r="89">
      <c r="B89">
        <f>IFERROR(VLOOKUP(A89,Grootboekschema!$A$1:$B$129,2,0), "")</f>
        <v/>
      </c>
    </row>
    <row r="90">
      <c r="B90">
        <f>IFERROR(VLOOKUP(A90,Grootboekschema!$A$1:$B$129,2,0), "")</f>
        <v/>
      </c>
    </row>
    <row r="91">
      <c r="B91">
        <f>IFERROR(VLOOKUP(A91,Grootboekschema!$A$1:$B$129,2,0), "")</f>
        <v/>
      </c>
    </row>
    <row r="92">
      <c r="B92">
        <f>IFERROR(VLOOKUP(A92,Grootboekschema!$A$1:$B$129,2,0), "")</f>
        <v/>
      </c>
    </row>
    <row r="93">
      <c r="B93">
        <f>IFERROR(VLOOKUP(A93,Grootboekschema!$A$1:$B$129,2,0), "")</f>
        <v/>
      </c>
    </row>
    <row r="94">
      <c r="B94">
        <f>IFERROR(VLOOKUP(A94,Grootboekschema!$A$1:$B$129,2,0), "")</f>
        <v/>
      </c>
    </row>
    <row r="95">
      <c r="B95">
        <f>IFERROR(VLOOKUP(A95,Grootboekschema!$A$1:$B$129,2,0), "")</f>
        <v/>
      </c>
    </row>
    <row r="96">
      <c r="B96">
        <f>IFERROR(VLOOKUP(A96,Grootboekschema!$A$1:$B$129,2,0), "")</f>
        <v/>
      </c>
    </row>
    <row r="97">
      <c r="B97">
        <f>IFERROR(VLOOKUP(A97,Grootboekschema!$A$1:$B$129,2,0), "")</f>
        <v/>
      </c>
    </row>
    <row r="98">
      <c r="B98">
        <f>IFERROR(VLOOKUP(A98,Grootboekschema!$A$1:$B$129,2,0), "")</f>
        <v/>
      </c>
    </row>
    <row r="99">
      <c r="B99">
        <f>IFERROR(VLOOKUP(A99,Grootboekschema!$A$1:$B$129,2,0), "")</f>
        <v/>
      </c>
    </row>
    <row r="100">
      <c r="B100">
        <f>IFERROR(VLOOKUP(A100,Grootboekschema!$A$1:$B$129,2,0), "")</f>
        <v/>
      </c>
    </row>
    <row r="101">
      <c r="B101">
        <f>IFERROR(VLOOKUP(A101,Grootboekschema!$A$1:$B$129,2,0), "")</f>
        <v/>
      </c>
    </row>
    <row r="102">
      <c r="B102">
        <f>IFERROR(VLOOKUP(A102,Grootboekschema!$A$1:$B$129,2,0), "")</f>
        <v/>
      </c>
    </row>
    <row r="103">
      <c r="B103">
        <f>IFERROR(VLOOKUP(A103,Grootboekschema!$A$1:$B$129,2,0), "")</f>
        <v/>
      </c>
    </row>
    <row r="104">
      <c r="B104">
        <f>IFERROR(VLOOKUP(A104,Grootboekschema!$A$1:$B$129,2,0), "")</f>
        <v/>
      </c>
    </row>
    <row r="105">
      <c r="B105">
        <f>IFERROR(VLOOKUP(A105,Grootboekschema!$A$1:$B$129,2,0), "")</f>
        <v/>
      </c>
    </row>
    <row r="106">
      <c r="B106">
        <f>IFERROR(VLOOKUP(A106,Grootboekschema!$A$1:$B$129,2,0), "")</f>
        <v/>
      </c>
    </row>
    <row r="107">
      <c r="B107">
        <f>IFERROR(VLOOKUP(A107,Grootboekschema!$A$1:$B$129,2,0), "")</f>
        <v/>
      </c>
    </row>
    <row r="108">
      <c r="B108">
        <f>IFERROR(VLOOKUP(A108,Grootboekschema!$A$1:$B$129,2,0), "")</f>
        <v/>
      </c>
    </row>
    <row r="109">
      <c r="B109">
        <f>IFERROR(VLOOKUP(A109,Grootboekschema!$A$1:$B$129,2,0), "")</f>
        <v/>
      </c>
    </row>
    <row r="110">
      <c r="B110">
        <f>IFERROR(VLOOKUP(A110,Grootboekschema!$A$1:$B$129,2,0), "")</f>
        <v/>
      </c>
    </row>
    <row r="111">
      <c r="B111">
        <f>IFERROR(VLOOKUP(A111,Grootboekschema!$A$1:$B$129,2,0), "")</f>
        <v/>
      </c>
    </row>
    <row r="112">
      <c r="B112">
        <f>IFERROR(VLOOKUP(A112,Grootboekschema!$A$1:$B$129,2,0), "")</f>
        <v/>
      </c>
    </row>
    <row r="113">
      <c r="B113">
        <f>IFERROR(VLOOKUP(A113,Grootboekschema!$A$1:$B$129,2,0), "")</f>
        <v/>
      </c>
    </row>
    <row r="114">
      <c r="B114">
        <f>IFERROR(VLOOKUP(A114,Grootboekschema!$A$1:$B$129,2,0), "")</f>
        <v/>
      </c>
    </row>
    <row r="115">
      <c r="B115">
        <f>IFERROR(VLOOKUP(A115,Grootboekschema!$A$1:$B$129,2,0), "")</f>
        <v/>
      </c>
    </row>
    <row r="116">
      <c r="B116">
        <f>IFERROR(VLOOKUP(A116,Grootboekschema!$A$1:$B$129,2,0), "")</f>
        <v/>
      </c>
    </row>
    <row r="117">
      <c r="B117">
        <f>IFERROR(VLOOKUP(A117,Grootboekschema!$A$1:$B$129,2,0), "")</f>
        <v/>
      </c>
    </row>
    <row r="118">
      <c r="B118">
        <f>IFERROR(VLOOKUP(A118,Grootboekschema!$A$1:$B$129,2,0), "")</f>
        <v/>
      </c>
    </row>
    <row r="119">
      <c r="B119">
        <f>IFERROR(VLOOKUP(A119,Grootboekschema!$A$1:$B$129,2,0), "")</f>
        <v/>
      </c>
    </row>
    <row r="120">
      <c r="B120">
        <f>IFERROR(VLOOKUP(A120,Grootboekschema!$A$1:$B$129,2,0), "")</f>
        <v/>
      </c>
    </row>
    <row r="121">
      <c r="B121">
        <f>IFERROR(VLOOKUP(A121,Grootboekschema!$A$1:$B$129,2,0), "")</f>
        <v/>
      </c>
    </row>
    <row r="122">
      <c r="B122">
        <f>IFERROR(VLOOKUP(A122,Grootboekschema!$A$1:$B$129,2,0), "")</f>
        <v/>
      </c>
    </row>
    <row r="123">
      <c r="B123">
        <f>IFERROR(VLOOKUP(A123,Grootboekschema!$A$1:$B$129,2,0), "")</f>
        <v/>
      </c>
    </row>
    <row r="124">
      <c r="B124">
        <f>IFERROR(VLOOKUP(A124,Grootboekschema!$A$1:$B$129,2,0), "")</f>
        <v/>
      </c>
    </row>
    <row r="125">
      <c r="B125">
        <f>IFERROR(VLOOKUP(A125,Grootboekschema!$A$1:$B$129,2,0), "")</f>
        <v/>
      </c>
    </row>
    <row r="126">
      <c r="B126">
        <f>IFERROR(VLOOKUP(A126,Grootboekschema!$A$1:$B$129,2,0), "")</f>
        <v/>
      </c>
    </row>
    <row r="127">
      <c r="B127">
        <f>IFERROR(VLOOKUP(A127,Grootboekschema!$A$1:$B$129,2,0), "")</f>
        <v/>
      </c>
    </row>
    <row r="128">
      <c r="B128">
        <f>IFERROR(VLOOKUP(A128,Grootboekschema!$A$1:$B$129,2,0), "")</f>
        <v/>
      </c>
    </row>
    <row r="129">
      <c r="B129">
        <f>IFERROR(VLOOKUP(A129,Grootboekschema!$A$1:$B$129,2,0), "")</f>
        <v/>
      </c>
    </row>
    <row r="130">
      <c r="B130">
        <f>IFERROR(VLOOKUP(A130,Grootboekschema!$A$1:$B$129,2,0), "")</f>
        <v/>
      </c>
    </row>
    <row r="131">
      <c r="B131">
        <f>IFERROR(VLOOKUP(A131,Grootboekschema!$A$1:$B$129,2,0), "")</f>
        <v/>
      </c>
    </row>
    <row r="132">
      <c r="B132">
        <f>IFERROR(VLOOKUP(A132,Grootboekschema!$A$1:$B$129,2,0), "")</f>
        <v/>
      </c>
    </row>
    <row r="133">
      <c r="B133">
        <f>IFERROR(VLOOKUP(A133,Grootboekschema!$A$1:$B$129,2,0), "")</f>
        <v/>
      </c>
    </row>
    <row r="134">
      <c r="B134">
        <f>IFERROR(VLOOKUP(A134,Grootboekschema!$A$1:$B$129,2,0), "")</f>
        <v/>
      </c>
    </row>
    <row r="135">
      <c r="B135">
        <f>IFERROR(VLOOKUP(A135,Grootboekschema!$A$1:$B$129,2,0), "")</f>
        <v/>
      </c>
    </row>
    <row r="136">
      <c r="B136">
        <f>IFERROR(VLOOKUP(A136,Grootboekschema!$A$1:$B$129,2,0), "")</f>
        <v/>
      </c>
    </row>
    <row r="137">
      <c r="B137">
        <f>IFERROR(VLOOKUP(A137,Grootboekschema!$A$1:$B$129,2,0), "")</f>
        <v/>
      </c>
    </row>
    <row r="138">
      <c r="B138">
        <f>IFERROR(VLOOKUP(A138,Grootboekschema!$A$1:$B$129,2,0), "")</f>
        <v/>
      </c>
    </row>
    <row r="139">
      <c r="B139">
        <f>IFERROR(VLOOKUP(A139,Grootboekschema!$A$1:$B$129,2,0), "")</f>
        <v/>
      </c>
    </row>
    <row r="140">
      <c r="B140">
        <f>IFERROR(VLOOKUP(A140,Grootboekschema!$A$1:$B$129,2,0), "")</f>
        <v/>
      </c>
    </row>
    <row r="141">
      <c r="B141">
        <f>IFERROR(VLOOKUP(A141,Grootboekschema!$A$1:$B$129,2,0), "")</f>
        <v/>
      </c>
    </row>
    <row r="142">
      <c r="B142">
        <f>IFERROR(VLOOKUP(A142,Grootboekschema!$A$1:$B$129,2,0), "")</f>
        <v/>
      </c>
    </row>
    <row r="143">
      <c r="B143">
        <f>IFERROR(VLOOKUP(A143,Grootboekschema!$A$1:$B$129,2,0), "")</f>
        <v/>
      </c>
    </row>
    <row r="144">
      <c r="B144">
        <f>IFERROR(VLOOKUP(A144,Grootboekschema!$A$1:$B$129,2,0), "")</f>
        <v/>
      </c>
    </row>
    <row r="145">
      <c r="B145">
        <f>IFERROR(VLOOKUP(A145,Grootboekschema!$A$1:$B$129,2,0), "")</f>
        <v/>
      </c>
    </row>
    <row r="146">
      <c r="B146">
        <f>IFERROR(VLOOKUP(A146,Grootboekschema!$A$1:$B$129,2,0), "")</f>
        <v/>
      </c>
    </row>
    <row r="147">
      <c r="B147">
        <f>IFERROR(VLOOKUP(A147,Grootboekschema!$A$1:$B$129,2,0), "")</f>
        <v/>
      </c>
    </row>
    <row r="148">
      <c r="B148">
        <f>IFERROR(VLOOKUP(A148,Grootboekschema!$A$1:$B$129,2,0), "")</f>
        <v/>
      </c>
    </row>
    <row r="149">
      <c r="B149">
        <f>IFERROR(VLOOKUP(A149,Grootboekschema!$A$1:$B$129,2,0), "")</f>
        <v/>
      </c>
    </row>
    <row r="150">
      <c r="B150">
        <f>IFERROR(VLOOKUP(A150,Grootboekschema!$A$1:$B$129,2,0), "")</f>
        <v/>
      </c>
    </row>
    <row r="151">
      <c r="B151">
        <f>IFERROR(VLOOKUP(A151,Grootboekschema!$A$1:$B$129,2,0), "")</f>
        <v/>
      </c>
    </row>
    <row r="152">
      <c r="B152">
        <f>IFERROR(VLOOKUP(A152,Grootboekschema!$A$1:$B$129,2,0), "")</f>
        <v/>
      </c>
    </row>
    <row r="153">
      <c r="B153">
        <f>IFERROR(VLOOKUP(A153,Grootboekschema!$A$1:$B$129,2,0), "")</f>
        <v/>
      </c>
    </row>
    <row r="154">
      <c r="B154">
        <f>IFERROR(VLOOKUP(A154,Grootboekschema!$A$1:$B$129,2,0), "")</f>
        <v/>
      </c>
    </row>
    <row r="155">
      <c r="B155">
        <f>IFERROR(VLOOKUP(A155,Grootboekschema!$A$1:$B$129,2,0), "")</f>
        <v/>
      </c>
    </row>
    <row r="156">
      <c r="B156">
        <f>IFERROR(VLOOKUP(A156,Grootboekschema!$A$1:$B$129,2,0), "")</f>
        <v/>
      </c>
    </row>
    <row r="157">
      <c r="B157">
        <f>IFERROR(VLOOKUP(A157,Grootboekschema!$A$1:$B$129,2,0), "")</f>
        <v/>
      </c>
    </row>
    <row r="158">
      <c r="B158">
        <f>IFERROR(VLOOKUP(A158,Grootboekschema!$A$1:$B$129,2,0), "")</f>
        <v/>
      </c>
    </row>
    <row r="159">
      <c r="B159">
        <f>IFERROR(VLOOKUP(A159,Grootboekschema!$A$1:$B$129,2,0), "")</f>
        <v/>
      </c>
    </row>
    <row r="160">
      <c r="B160">
        <f>IFERROR(VLOOKUP(A160,Grootboekschema!$A$1:$B$129,2,0), "")</f>
        <v/>
      </c>
    </row>
    <row r="161">
      <c r="B161">
        <f>IFERROR(VLOOKUP(A161,Grootboekschema!$A$1:$B$129,2,0), "")</f>
        <v/>
      </c>
    </row>
    <row r="162">
      <c r="B162">
        <f>IFERROR(VLOOKUP(A162,Grootboekschema!$A$1:$B$129,2,0), "")</f>
        <v/>
      </c>
    </row>
    <row r="163">
      <c r="B163">
        <f>IFERROR(VLOOKUP(A163,Grootboekschema!$A$1:$B$129,2,0), "")</f>
        <v/>
      </c>
    </row>
    <row r="164">
      <c r="B164">
        <f>IFERROR(VLOOKUP(A164,Grootboekschema!$A$1:$B$129,2,0), "")</f>
        <v/>
      </c>
    </row>
    <row r="165">
      <c r="B165">
        <f>IFERROR(VLOOKUP(A165,Grootboekschema!$A$1:$B$129,2,0), "")</f>
        <v/>
      </c>
    </row>
    <row r="166">
      <c r="B166">
        <f>IFERROR(VLOOKUP(A166,Grootboekschema!$A$1:$B$129,2,0), "")</f>
        <v/>
      </c>
    </row>
    <row r="167">
      <c r="B167">
        <f>IFERROR(VLOOKUP(A167,Grootboekschema!$A$1:$B$129,2,0), "")</f>
        <v/>
      </c>
    </row>
    <row r="168">
      <c r="B168">
        <f>IFERROR(VLOOKUP(A168,Grootboekschema!$A$1:$B$129,2,0), "")</f>
        <v/>
      </c>
    </row>
    <row r="169">
      <c r="B169">
        <f>IFERROR(VLOOKUP(A169,Grootboekschema!$A$1:$B$129,2,0), "")</f>
        <v/>
      </c>
    </row>
    <row r="170">
      <c r="B170">
        <f>IFERROR(VLOOKUP(A170,Grootboekschema!$A$1:$B$129,2,0), "")</f>
        <v/>
      </c>
    </row>
    <row r="171">
      <c r="B171">
        <f>IFERROR(VLOOKUP(A171,Grootboekschema!$A$1:$B$129,2,0), "")</f>
        <v/>
      </c>
    </row>
    <row r="172">
      <c r="B172">
        <f>IFERROR(VLOOKUP(A172,Grootboekschema!$A$1:$B$129,2,0), "")</f>
        <v/>
      </c>
    </row>
    <row r="173">
      <c r="B173">
        <f>IFERROR(VLOOKUP(A173,Grootboekschema!$A$1:$B$129,2,0), "")</f>
        <v/>
      </c>
    </row>
    <row r="174">
      <c r="B174">
        <f>IFERROR(VLOOKUP(A174,Grootboekschema!$A$1:$B$129,2,0), "")</f>
        <v/>
      </c>
    </row>
    <row r="175">
      <c r="B175">
        <f>IFERROR(VLOOKUP(A175,Grootboekschema!$A$1:$B$129,2,0), "")</f>
        <v/>
      </c>
    </row>
    <row r="176">
      <c r="B176">
        <f>IFERROR(VLOOKUP(A176,Grootboekschema!$A$1:$B$129,2,0), "")</f>
        <v/>
      </c>
    </row>
    <row r="177">
      <c r="B177">
        <f>IFERROR(VLOOKUP(A177,Grootboekschema!$A$1:$B$129,2,0), "")</f>
        <v/>
      </c>
    </row>
    <row r="178">
      <c r="B178">
        <f>IFERROR(VLOOKUP(A178,Grootboekschema!$A$1:$B$129,2,0), "")</f>
        <v/>
      </c>
    </row>
    <row r="179">
      <c r="B179">
        <f>IFERROR(VLOOKUP(A179,Grootboekschema!$A$1:$B$129,2,0), "")</f>
        <v/>
      </c>
    </row>
    <row r="180">
      <c r="B180">
        <f>IFERROR(VLOOKUP(A180,Grootboekschema!$A$1:$B$129,2,0), "")</f>
        <v/>
      </c>
    </row>
    <row r="181">
      <c r="B181">
        <f>IFERROR(VLOOKUP(A181,Grootboekschema!$A$1:$B$129,2,0), "")</f>
        <v/>
      </c>
    </row>
    <row r="182">
      <c r="B182">
        <f>IFERROR(VLOOKUP(A182,Grootboekschema!$A$1:$B$129,2,0), "")</f>
        <v/>
      </c>
    </row>
    <row r="183">
      <c r="B183">
        <f>IFERROR(VLOOKUP(A183,Grootboekschema!$A$1:$B$129,2,0), "")</f>
        <v/>
      </c>
    </row>
    <row r="184">
      <c r="B184">
        <f>IFERROR(VLOOKUP(A184,Grootboekschema!$A$1:$B$129,2,0), "")</f>
        <v/>
      </c>
    </row>
    <row r="185">
      <c r="B185">
        <f>IFERROR(VLOOKUP(A185,Grootboekschema!$A$1:$B$129,2,0), "")</f>
        <v/>
      </c>
    </row>
    <row r="186">
      <c r="B186">
        <f>IFERROR(VLOOKUP(A186,Grootboekschema!$A$1:$B$129,2,0), "")</f>
        <v/>
      </c>
    </row>
    <row r="187">
      <c r="B187">
        <f>IFERROR(VLOOKUP(A187,Grootboekschema!$A$1:$B$129,2,0), "")</f>
        <v/>
      </c>
    </row>
    <row r="188">
      <c r="B188">
        <f>IFERROR(VLOOKUP(A188,Grootboekschema!$A$1:$B$129,2,0), "")</f>
        <v/>
      </c>
    </row>
    <row r="189">
      <c r="B189">
        <f>IFERROR(VLOOKUP(A189,Grootboekschema!$A$1:$B$129,2,0), "")</f>
        <v/>
      </c>
    </row>
    <row r="190">
      <c r="B190">
        <f>IFERROR(VLOOKUP(A190,Grootboekschema!$A$1:$B$129,2,0), "")</f>
        <v/>
      </c>
    </row>
    <row r="191">
      <c r="B191">
        <f>IFERROR(VLOOKUP(A191,Grootboekschema!$A$1:$B$129,2,0), "")</f>
        <v/>
      </c>
    </row>
    <row r="192">
      <c r="B192">
        <f>IFERROR(VLOOKUP(A192,Grootboekschema!$A$1:$B$129,2,0), "")</f>
        <v/>
      </c>
    </row>
    <row r="193">
      <c r="B193">
        <f>IFERROR(VLOOKUP(A193,Grootboekschema!$A$1:$B$129,2,0), "")</f>
        <v/>
      </c>
    </row>
    <row r="194">
      <c r="B194">
        <f>IFERROR(VLOOKUP(A194,Grootboekschema!$A$1:$B$129,2,0), "")</f>
        <v/>
      </c>
    </row>
    <row r="195">
      <c r="B195">
        <f>IFERROR(VLOOKUP(A195,Grootboekschema!$A$1:$B$129,2,0), "")</f>
        <v/>
      </c>
    </row>
    <row r="196">
      <c r="B196">
        <f>IFERROR(VLOOKUP(A196,Grootboekschema!$A$1:$B$129,2,0), "")</f>
        <v/>
      </c>
    </row>
    <row r="197">
      <c r="B197">
        <f>IFERROR(VLOOKUP(A197,Grootboekschema!$A$1:$B$129,2,0), "")</f>
        <v/>
      </c>
    </row>
    <row r="198">
      <c r="B198">
        <f>IFERROR(VLOOKUP(A198,Grootboekschema!$A$1:$B$129,2,0), "")</f>
        <v/>
      </c>
    </row>
    <row r="199">
      <c r="B199">
        <f>IFERROR(VLOOKUP(A199,Grootboekschema!$A$1:$B$129,2,0), "")</f>
        <v/>
      </c>
    </row>
    <row r="200">
      <c r="B200">
        <f>IFERROR(VLOOKUP(A200,Grootboekschema!$A$1:$B$129,2,0), "")</f>
        <v/>
      </c>
    </row>
    <row r="201">
      <c r="B201">
        <f>IFERROR(VLOOKUP(A201,Grootboekschema!$A$1:$B$129,2,0), "")</f>
        <v/>
      </c>
    </row>
    <row r="202">
      <c r="B202">
        <f>IFERROR(VLOOKUP(A202,Grootboekschema!$A$1:$B$129,2,0), "")</f>
        <v/>
      </c>
    </row>
    <row r="203">
      <c r="B203">
        <f>IFERROR(VLOOKUP(A203,Grootboekschema!$A$1:$B$129,2,0), "")</f>
        <v/>
      </c>
    </row>
    <row r="204">
      <c r="B204">
        <f>IFERROR(VLOOKUP(A204,Grootboekschema!$A$1:$B$129,2,0), "")</f>
        <v/>
      </c>
    </row>
    <row r="205">
      <c r="B205">
        <f>IFERROR(VLOOKUP(A205,Grootboekschema!$A$1:$B$129,2,0), "")</f>
        <v/>
      </c>
    </row>
    <row r="206">
      <c r="B206">
        <f>IFERROR(VLOOKUP(A206,Grootboekschema!$A$1:$B$129,2,0), "")</f>
        <v/>
      </c>
    </row>
    <row r="207">
      <c r="B207">
        <f>IFERROR(VLOOKUP(A207,Grootboekschema!$A$1:$B$129,2,0), "")</f>
        <v/>
      </c>
    </row>
    <row r="208">
      <c r="B208">
        <f>IFERROR(VLOOKUP(A208,Grootboekschema!$A$1:$B$129,2,0), "")</f>
        <v/>
      </c>
    </row>
    <row r="209">
      <c r="B209">
        <f>IFERROR(VLOOKUP(A209,Grootboekschema!$A$1:$B$129,2,0), "")</f>
        <v/>
      </c>
    </row>
    <row r="210">
      <c r="B210">
        <f>IFERROR(VLOOKUP(A210,Grootboekschema!$A$1:$B$129,2,0), "")</f>
        <v/>
      </c>
    </row>
    <row r="211">
      <c r="B211">
        <f>IFERROR(VLOOKUP(A211,Grootboekschema!$A$1:$B$129,2,0), "")</f>
        <v/>
      </c>
    </row>
    <row r="212">
      <c r="B212">
        <f>IFERROR(VLOOKUP(A212,Grootboekschema!$A$1:$B$129,2,0), "")</f>
        <v/>
      </c>
    </row>
    <row r="213">
      <c r="B213">
        <f>IFERROR(VLOOKUP(A213,Grootboekschema!$A$1:$B$129,2,0), "")</f>
        <v/>
      </c>
    </row>
    <row r="214">
      <c r="B214">
        <f>IFERROR(VLOOKUP(A214,Grootboekschema!$A$1:$B$129,2,0), "")</f>
        <v/>
      </c>
    </row>
    <row r="215">
      <c r="B215">
        <f>IFERROR(VLOOKUP(A215,Grootboekschema!$A$1:$B$129,2,0), "")</f>
        <v/>
      </c>
    </row>
    <row r="216">
      <c r="B216">
        <f>IFERROR(VLOOKUP(A216,Grootboekschema!$A$1:$B$129,2,0), "")</f>
        <v/>
      </c>
    </row>
    <row r="217">
      <c r="B217">
        <f>IFERROR(VLOOKUP(A217,Grootboekschema!$A$1:$B$129,2,0), "")</f>
        <v/>
      </c>
    </row>
    <row r="218">
      <c r="B218">
        <f>IFERROR(VLOOKUP(A218,Grootboekschema!$A$1:$B$129,2,0), "")</f>
        <v/>
      </c>
    </row>
    <row r="219">
      <c r="B219">
        <f>IFERROR(VLOOKUP(A219,Grootboekschema!$A$1:$B$129,2,0), "")</f>
        <v/>
      </c>
    </row>
    <row r="220">
      <c r="B220">
        <f>IFERROR(VLOOKUP(A220,Grootboekschema!$A$1:$B$129,2,0), "")</f>
        <v/>
      </c>
    </row>
    <row r="221">
      <c r="B221">
        <f>IFERROR(VLOOKUP(A221,Grootboekschema!$A$1:$B$129,2,0), "")</f>
        <v/>
      </c>
    </row>
    <row r="222">
      <c r="B222">
        <f>IFERROR(VLOOKUP(A222,Grootboekschema!$A$1:$B$129,2,0), "")</f>
        <v/>
      </c>
    </row>
    <row r="223">
      <c r="B223">
        <f>IFERROR(VLOOKUP(A223,Grootboekschema!$A$1:$B$129,2,0), "")</f>
        <v/>
      </c>
    </row>
    <row r="224">
      <c r="B224">
        <f>IFERROR(VLOOKUP(A224,Grootboekschema!$A$1:$B$129,2,0), "")</f>
        <v/>
      </c>
    </row>
    <row r="225">
      <c r="B225">
        <f>IFERROR(VLOOKUP(A225,Grootboekschema!$A$1:$B$129,2,0), "")</f>
        <v/>
      </c>
    </row>
    <row r="226">
      <c r="B226">
        <f>IFERROR(VLOOKUP(A226,Grootboekschema!$A$1:$B$129,2,0), "")</f>
        <v/>
      </c>
    </row>
    <row r="227">
      <c r="B227">
        <f>IFERROR(VLOOKUP(A227,Grootboekschema!$A$1:$B$129,2,0), "")</f>
        <v/>
      </c>
    </row>
    <row r="228">
      <c r="B228">
        <f>IFERROR(VLOOKUP(A228,Grootboekschema!$A$1:$B$129,2,0), "")</f>
        <v/>
      </c>
    </row>
    <row r="229">
      <c r="B229">
        <f>IFERROR(VLOOKUP(A229,Grootboekschema!$A$1:$B$129,2,0), "")</f>
        <v/>
      </c>
    </row>
    <row r="230">
      <c r="B230">
        <f>IFERROR(VLOOKUP(A230,Grootboekschema!$A$1:$B$129,2,0), "")</f>
        <v/>
      </c>
    </row>
    <row r="231">
      <c r="B231">
        <f>IFERROR(VLOOKUP(A231,Grootboekschema!$A$1:$B$129,2,0), "")</f>
        <v/>
      </c>
    </row>
    <row r="232">
      <c r="B232">
        <f>IFERROR(VLOOKUP(A232,Grootboekschema!$A$1:$B$129,2,0), "")</f>
        <v/>
      </c>
    </row>
    <row r="233">
      <c r="B233">
        <f>IFERROR(VLOOKUP(A233,Grootboekschema!$A$1:$B$129,2,0), "")</f>
        <v/>
      </c>
    </row>
    <row r="234">
      <c r="B234">
        <f>IFERROR(VLOOKUP(A234,Grootboekschema!$A$1:$B$129,2,0), "")</f>
        <v/>
      </c>
    </row>
    <row r="235">
      <c r="B235">
        <f>IFERROR(VLOOKUP(A235,Grootboekschema!$A$1:$B$129,2,0), "")</f>
        <v/>
      </c>
    </row>
    <row r="236">
      <c r="B236">
        <f>IFERROR(VLOOKUP(A236,Grootboekschema!$A$1:$B$129,2,0), "")</f>
        <v/>
      </c>
    </row>
    <row r="237">
      <c r="B237">
        <f>IFERROR(VLOOKUP(A237,Grootboekschema!$A$1:$B$129,2,0), "")</f>
        <v/>
      </c>
    </row>
    <row r="238">
      <c r="B238">
        <f>IFERROR(VLOOKUP(A238,Grootboekschema!$A$1:$B$129,2,0), "")</f>
        <v/>
      </c>
    </row>
    <row r="239">
      <c r="B239">
        <f>IFERROR(VLOOKUP(A239,Grootboekschema!$A$1:$B$129,2,0), "")</f>
        <v/>
      </c>
    </row>
    <row r="240">
      <c r="B240">
        <f>IFERROR(VLOOKUP(A240,Grootboekschema!$A$1:$B$129,2,0), "")</f>
        <v/>
      </c>
    </row>
    <row r="241">
      <c r="B241">
        <f>IFERROR(VLOOKUP(A241,Grootboekschema!$A$1:$B$129,2,0), "")</f>
        <v/>
      </c>
    </row>
    <row r="242">
      <c r="B242">
        <f>IFERROR(VLOOKUP(A242,Grootboekschema!$A$1:$B$129,2,0), "")</f>
        <v/>
      </c>
    </row>
    <row r="243">
      <c r="B243">
        <f>IFERROR(VLOOKUP(A243,Grootboekschema!$A$1:$B$129,2,0), "")</f>
        <v/>
      </c>
    </row>
    <row r="244">
      <c r="B244">
        <f>IFERROR(VLOOKUP(A244,Grootboekschema!$A$1:$B$129,2,0), "")</f>
        <v/>
      </c>
    </row>
    <row r="245">
      <c r="B245">
        <f>IFERROR(VLOOKUP(A245,Grootboekschema!$A$1:$B$129,2,0), "")</f>
        <v/>
      </c>
    </row>
    <row r="246">
      <c r="B246">
        <f>IFERROR(VLOOKUP(A246,Grootboekschema!$A$1:$B$129,2,0), "")</f>
        <v/>
      </c>
    </row>
    <row r="247">
      <c r="B247">
        <f>IFERROR(VLOOKUP(A247,Grootboekschema!$A$1:$B$129,2,0), "")</f>
        <v/>
      </c>
    </row>
    <row r="248">
      <c r="B248">
        <f>IFERROR(VLOOKUP(A248,Grootboekschema!$A$1:$B$129,2,0), "")</f>
        <v/>
      </c>
    </row>
    <row r="249">
      <c r="B249">
        <f>IFERROR(VLOOKUP(A249,Grootboekschema!$A$1:$B$129,2,0), "")</f>
        <v/>
      </c>
    </row>
    <row r="250">
      <c r="B250">
        <f>IFERROR(VLOOKUP(A250,Grootboekschema!$A$1:$B$129,2,0), "")</f>
        <v/>
      </c>
    </row>
    <row r="251">
      <c r="B251">
        <f>IFERROR(VLOOKUP(A251,Grootboekschema!$A$1:$B$129,2,0), "")</f>
        <v/>
      </c>
    </row>
    <row r="252">
      <c r="B252">
        <f>IFERROR(VLOOKUP(A252,Grootboekschema!$A$1:$B$129,2,0), "")</f>
        <v/>
      </c>
    </row>
    <row r="253">
      <c r="B253">
        <f>IFERROR(VLOOKUP(A253,Grootboekschema!$A$1:$B$129,2,0), "")</f>
        <v/>
      </c>
    </row>
    <row r="254">
      <c r="B254">
        <f>IFERROR(VLOOKUP(A254,Grootboekschema!$A$1:$B$129,2,0), "")</f>
        <v/>
      </c>
    </row>
    <row r="255">
      <c r="B255">
        <f>IFERROR(VLOOKUP(A255,Grootboekschema!$A$1:$B$129,2,0), "")</f>
        <v/>
      </c>
    </row>
    <row r="256">
      <c r="B256">
        <f>IFERROR(VLOOKUP(A256,Grootboekschema!$A$1:$B$129,2,0), "")</f>
        <v/>
      </c>
    </row>
    <row r="257">
      <c r="B257">
        <f>IFERROR(VLOOKUP(A257,Grootboekschema!$A$1:$B$129,2,0), "")</f>
        <v/>
      </c>
    </row>
    <row r="258">
      <c r="B258">
        <f>IFERROR(VLOOKUP(A258,Grootboekschema!$A$1:$B$129,2,0), "")</f>
        <v/>
      </c>
    </row>
    <row r="259">
      <c r="B259">
        <f>IFERROR(VLOOKUP(A259,Grootboekschema!$A$1:$B$129,2,0), "")</f>
        <v/>
      </c>
    </row>
    <row r="260">
      <c r="B260">
        <f>IFERROR(VLOOKUP(A260,Grootboekschema!$A$1:$B$129,2,0), "")</f>
        <v/>
      </c>
    </row>
    <row r="261">
      <c r="B261">
        <f>IFERROR(VLOOKUP(A261,Grootboekschema!$A$1:$B$129,2,0), "")</f>
        <v/>
      </c>
    </row>
    <row r="262">
      <c r="B262">
        <f>IFERROR(VLOOKUP(A262,Grootboekschema!$A$1:$B$129,2,0), "")</f>
        <v/>
      </c>
    </row>
    <row r="263">
      <c r="B263">
        <f>IFERROR(VLOOKUP(A263,Grootboekschema!$A$1:$B$129,2,0), "")</f>
        <v/>
      </c>
    </row>
    <row r="264">
      <c r="B264">
        <f>IFERROR(VLOOKUP(A264,Grootboekschema!$A$1:$B$129,2,0), "")</f>
        <v/>
      </c>
    </row>
    <row r="265">
      <c r="B265">
        <f>IFERROR(VLOOKUP(A265,Grootboekschema!$A$1:$B$129,2,0), "")</f>
        <v/>
      </c>
    </row>
    <row r="266">
      <c r="B266">
        <f>IFERROR(VLOOKUP(A266,Grootboekschema!$A$1:$B$129,2,0), "")</f>
        <v/>
      </c>
    </row>
    <row r="267">
      <c r="B267">
        <f>IFERROR(VLOOKUP(A267,Grootboekschema!$A$1:$B$129,2,0), "")</f>
        <v/>
      </c>
    </row>
    <row r="268">
      <c r="B268">
        <f>IFERROR(VLOOKUP(A268,Grootboekschema!$A$1:$B$129,2,0), "")</f>
        <v/>
      </c>
    </row>
    <row r="269">
      <c r="B269">
        <f>IFERROR(VLOOKUP(A269,Grootboekschema!$A$1:$B$129,2,0), "")</f>
        <v/>
      </c>
    </row>
    <row r="270">
      <c r="B270">
        <f>IFERROR(VLOOKUP(A270,Grootboekschema!$A$1:$B$129,2,0), "")</f>
        <v/>
      </c>
    </row>
    <row r="271">
      <c r="B271">
        <f>IFERROR(VLOOKUP(A271,Grootboekschema!$A$1:$B$129,2,0), "")</f>
        <v/>
      </c>
    </row>
    <row r="272">
      <c r="B272">
        <f>IFERROR(VLOOKUP(A272,Grootboekschema!$A$1:$B$129,2,0), "")</f>
        <v/>
      </c>
    </row>
    <row r="273">
      <c r="B273">
        <f>IFERROR(VLOOKUP(A273,Grootboekschema!$A$1:$B$129,2,0), "")</f>
        <v/>
      </c>
    </row>
    <row r="274">
      <c r="B274">
        <f>IFERROR(VLOOKUP(A274,Grootboekschema!$A$1:$B$129,2,0), "")</f>
        <v/>
      </c>
    </row>
    <row r="275">
      <c r="B275">
        <f>IFERROR(VLOOKUP(A275,Grootboekschema!$A$1:$B$129,2,0), "")</f>
        <v/>
      </c>
    </row>
    <row r="276">
      <c r="B276">
        <f>IFERROR(VLOOKUP(A276,Grootboekschema!$A$1:$B$129,2,0), "")</f>
        <v/>
      </c>
    </row>
    <row r="277">
      <c r="B277">
        <f>IFERROR(VLOOKUP(A277,Grootboekschema!$A$1:$B$129,2,0), "")</f>
        <v/>
      </c>
    </row>
    <row r="278">
      <c r="B278">
        <f>IFERROR(VLOOKUP(A278,Grootboekschema!$A$1:$B$129,2,0), "")</f>
        <v/>
      </c>
    </row>
    <row r="279">
      <c r="B279">
        <f>IFERROR(VLOOKUP(A279,Grootboekschema!$A$1:$B$129,2,0), "")</f>
        <v/>
      </c>
    </row>
    <row r="280">
      <c r="B280">
        <f>IFERROR(VLOOKUP(A280,Grootboekschema!$A$1:$B$129,2,0), "")</f>
        <v/>
      </c>
    </row>
    <row r="281">
      <c r="B281">
        <f>IFERROR(VLOOKUP(A281,Grootboekschema!$A$1:$B$129,2,0), "")</f>
        <v/>
      </c>
    </row>
    <row r="282">
      <c r="B282">
        <f>IFERROR(VLOOKUP(A282,Grootboekschema!$A$1:$B$129,2,0), "")</f>
        <v/>
      </c>
    </row>
    <row r="283">
      <c r="B283">
        <f>IFERROR(VLOOKUP(A283,Grootboekschema!$A$1:$B$129,2,0), "")</f>
        <v/>
      </c>
    </row>
    <row r="284">
      <c r="B284">
        <f>IFERROR(VLOOKUP(A284,Grootboekschema!$A$1:$B$129,2,0), "")</f>
        <v/>
      </c>
    </row>
    <row r="285">
      <c r="B285">
        <f>IFERROR(VLOOKUP(A285,Grootboekschema!$A$1:$B$129,2,0), "")</f>
        <v/>
      </c>
    </row>
    <row r="286">
      <c r="B286">
        <f>IFERROR(VLOOKUP(A286,Grootboekschema!$A$1:$B$129,2,0), "")</f>
        <v/>
      </c>
    </row>
    <row r="287">
      <c r="B287">
        <f>IFERROR(VLOOKUP(A287,Grootboekschema!$A$1:$B$129,2,0), "")</f>
        <v/>
      </c>
    </row>
    <row r="288">
      <c r="B288">
        <f>IFERROR(VLOOKUP(A288,Grootboekschema!$A$1:$B$129,2,0), "")</f>
        <v/>
      </c>
    </row>
    <row r="289">
      <c r="B289">
        <f>IFERROR(VLOOKUP(A289,Grootboekschema!$A$1:$B$129,2,0), "")</f>
        <v/>
      </c>
    </row>
    <row r="290">
      <c r="B290">
        <f>IFERROR(VLOOKUP(A290,Grootboekschema!$A$1:$B$129,2,0), "")</f>
        <v/>
      </c>
    </row>
    <row r="291">
      <c r="B291">
        <f>IFERROR(VLOOKUP(A291,Grootboekschema!$A$1:$B$129,2,0), "")</f>
        <v/>
      </c>
    </row>
    <row r="292">
      <c r="B292">
        <f>IFERROR(VLOOKUP(A292,Grootboekschema!$A$1:$B$129,2,0), "")</f>
        <v/>
      </c>
    </row>
    <row r="293">
      <c r="B293">
        <f>IFERROR(VLOOKUP(A293,Grootboekschema!$A$1:$B$129,2,0), "")</f>
        <v/>
      </c>
    </row>
    <row r="294">
      <c r="B294">
        <f>IFERROR(VLOOKUP(A294,Grootboekschema!$A$1:$B$129,2,0), "")</f>
        <v/>
      </c>
    </row>
    <row r="295">
      <c r="B295">
        <f>IFERROR(VLOOKUP(A295,Grootboekschema!$A$1:$B$129,2,0), "")</f>
        <v/>
      </c>
    </row>
    <row r="296">
      <c r="B296">
        <f>IFERROR(VLOOKUP(A296,Grootboekschema!$A$1:$B$129,2,0), "")</f>
        <v/>
      </c>
    </row>
    <row r="297">
      <c r="B297">
        <f>IFERROR(VLOOKUP(A297,Grootboekschema!$A$1:$B$129,2,0), "")</f>
        <v/>
      </c>
    </row>
    <row r="298">
      <c r="B298">
        <f>IFERROR(VLOOKUP(A298,Grootboekschema!$A$1:$B$129,2,0), "")</f>
        <v/>
      </c>
    </row>
    <row r="299">
      <c r="B299">
        <f>IFERROR(VLOOKUP(A299,Grootboekschema!$A$1:$B$129,2,0), "")</f>
        <v/>
      </c>
    </row>
    <row r="300">
      <c r="B300">
        <f>IFERROR(VLOOKUP(A300,Grootboekschema!$A$1:$B$129,2,0), "")</f>
        <v/>
      </c>
    </row>
    <row r="301">
      <c r="B301">
        <f>IFERROR(VLOOKUP(A301,Grootboekschema!$A$1:$B$129,2,0), "")</f>
        <v/>
      </c>
    </row>
    <row r="302">
      <c r="B302">
        <f>IFERROR(VLOOKUP(A302,Grootboekschema!$A$1:$B$129,2,0), "")</f>
        <v/>
      </c>
    </row>
    <row r="303">
      <c r="B303">
        <f>IFERROR(VLOOKUP(A303,Grootboekschema!$A$1:$B$129,2,0), "")</f>
        <v/>
      </c>
    </row>
    <row r="304">
      <c r="B304">
        <f>IFERROR(VLOOKUP(A304,Grootboekschema!$A$1:$B$129,2,0), "")</f>
        <v/>
      </c>
    </row>
    <row r="305">
      <c r="B305">
        <f>IFERROR(VLOOKUP(A305,Grootboekschema!$A$1:$B$129,2,0), "")</f>
        <v/>
      </c>
    </row>
    <row r="306">
      <c r="B306">
        <f>IFERROR(VLOOKUP(A306,Grootboekschema!$A$1:$B$129,2,0), "")</f>
        <v/>
      </c>
    </row>
    <row r="307">
      <c r="B307">
        <f>IFERROR(VLOOKUP(A307,Grootboekschema!$A$1:$B$129,2,0), "")</f>
        <v/>
      </c>
    </row>
    <row r="308">
      <c r="B308">
        <f>IFERROR(VLOOKUP(A308,Grootboekschema!$A$1:$B$129,2,0), "")</f>
        <v/>
      </c>
    </row>
    <row r="309">
      <c r="B309">
        <f>IFERROR(VLOOKUP(A309,Grootboekschema!$A$1:$B$129,2,0), "")</f>
        <v/>
      </c>
    </row>
    <row r="310">
      <c r="B310">
        <f>IFERROR(VLOOKUP(A310,Grootboekschema!$A$1:$B$129,2,0), "")</f>
        <v/>
      </c>
    </row>
    <row r="311">
      <c r="B311">
        <f>IFERROR(VLOOKUP(A311,Grootboekschema!$A$1:$B$129,2,0), "")</f>
        <v/>
      </c>
    </row>
    <row r="312">
      <c r="B312">
        <f>IFERROR(VLOOKUP(A312,Grootboekschema!$A$1:$B$129,2,0), "")</f>
        <v/>
      </c>
    </row>
    <row r="313">
      <c r="B313">
        <f>IFERROR(VLOOKUP(A313,Grootboekschema!$A$1:$B$129,2,0), "")</f>
        <v/>
      </c>
    </row>
    <row r="314">
      <c r="B314">
        <f>IFERROR(VLOOKUP(A314,Grootboekschema!$A$1:$B$129,2,0), "")</f>
        <v/>
      </c>
    </row>
    <row r="315">
      <c r="B315">
        <f>IFERROR(VLOOKUP(A315,Grootboekschema!$A$1:$B$129,2,0), "")</f>
        <v/>
      </c>
    </row>
    <row r="316">
      <c r="B316">
        <f>IFERROR(VLOOKUP(A316,Grootboekschema!$A$1:$B$129,2,0), "")</f>
        <v/>
      </c>
    </row>
    <row r="317">
      <c r="B317">
        <f>IFERROR(VLOOKUP(A317,Grootboekschema!$A$1:$B$129,2,0), "")</f>
        <v/>
      </c>
    </row>
    <row r="318">
      <c r="B318">
        <f>IFERROR(VLOOKUP(A318,Grootboekschema!$A$1:$B$129,2,0), "")</f>
        <v/>
      </c>
    </row>
    <row r="319">
      <c r="B319">
        <f>IFERROR(VLOOKUP(A319,Grootboekschema!$A$1:$B$129,2,0), "")</f>
        <v/>
      </c>
    </row>
    <row r="320">
      <c r="B320">
        <f>IFERROR(VLOOKUP(A320,Grootboekschema!$A$1:$B$129,2,0), "")</f>
        <v/>
      </c>
    </row>
    <row r="321">
      <c r="B321">
        <f>IFERROR(VLOOKUP(A321,Grootboekschema!$A$1:$B$129,2,0), "")</f>
        <v/>
      </c>
    </row>
    <row r="322">
      <c r="B322">
        <f>IFERROR(VLOOKUP(A322,Grootboekschema!$A$1:$B$129,2,0), "")</f>
        <v/>
      </c>
    </row>
    <row r="323">
      <c r="B323">
        <f>IFERROR(VLOOKUP(A323,Grootboekschema!$A$1:$B$129,2,0), "")</f>
        <v/>
      </c>
    </row>
    <row r="324">
      <c r="B324">
        <f>IFERROR(VLOOKUP(A324,Grootboekschema!$A$1:$B$129,2,0), "")</f>
        <v/>
      </c>
    </row>
    <row r="325">
      <c r="B325">
        <f>IFERROR(VLOOKUP(A325,Grootboekschema!$A$1:$B$129,2,0), "")</f>
        <v/>
      </c>
    </row>
    <row r="326">
      <c r="B326">
        <f>IFERROR(VLOOKUP(A326,Grootboekschema!$A$1:$B$129,2,0), "")</f>
        <v/>
      </c>
    </row>
    <row r="327">
      <c r="B327">
        <f>IFERROR(VLOOKUP(A327,Grootboekschema!$A$1:$B$129,2,0), "")</f>
        <v/>
      </c>
    </row>
    <row r="328">
      <c r="B328">
        <f>IFERROR(VLOOKUP(A328,Grootboekschema!$A$1:$B$129,2,0), "")</f>
        <v/>
      </c>
    </row>
    <row r="329">
      <c r="B329">
        <f>IFERROR(VLOOKUP(A329,Grootboekschema!$A$1:$B$129,2,0), "")</f>
        <v/>
      </c>
    </row>
    <row r="330">
      <c r="B330">
        <f>IFERROR(VLOOKUP(A330,Grootboekschema!$A$1:$B$129,2,0), "")</f>
        <v/>
      </c>
    </row>
    <row r="331">
      <c r="B331">
        <f>IFERROR(VLOOKUP(A331,Grootboekschema!$A$1:$B$129,2,0), "")</f>
        <v/>
      </c>
    </row>
    <row r="332">
      <c r="B332">
        <f>IFERROR(VLOOKUP(A332,Grootboekschema!$A$1:$B$129,2,0), "")</f>
        <v/>
      </c>
    </row>
    <row r="333">
      <c r="B333">
        <f>IFERROR(VLOOKUP(A333,Grootboekschema!$A$1:$B$129,2,0), "")</f>
        <v/>
      </c>
    </row>
    <row r="334">
      <c r="B334">
        <f>IFERROR(VLOOKUP(A334,Grootboekschema!$A$1:$B$129,2,0), "")</f>
        <v/>
      </c>
    </row>
    <row r="335">
      <c r="B335">
        <f>IFERROR(VLOOKUP(A335,Grootboekschema!$A$1:$B$129,2,0), "")</f>
        <v/>
      </c>
    </row>
    <row r="336">
      <c r="B336">
        <f>IFERROR(VLOOKUP(A336,Grootboekschema!$A$1:$B$129,2,0), "")</f>
        <v/>
      </c>
    </row>
    <row r="337">
      <c r="B337">
        <f>IFERROR(VLOOKUP(A337,Grootboekschema!$A$1:$B$129,2,0), "")</f>
        <v/>
      </c>
    </row>
    <row r="338">
      <c r="B338">
        <f>IFERROR(VLOOKUP(A338,Grootboekschema!$A$1:$B$129,2,0), "")</f>
        <v/>
      </c>
    </row>
    <row r="339">
      <c r="B339">
        <f>IFERROR(VLOOKUP(A339,Grootboekschema!$A$1:$B$129,2,0), "")</f>
        <v/>
      </c>
    </row>
    <row r="340">
      <c r="B340">
        <f>IFERROR(VLOOKUP(A340,Grootboekschema!$A$1:$B$129,2,0), "")</f>
        <v/>
      </c>
    </row>
    <row r="341">
      <c r="B341">
        <f>IFERROR(VLOOKUP(A341,Grootboekschema!$A$1:$B$129,2,0), "")</f>
        <v/>
      </c>
    </row>
    <row r="342">
      <c r="B342">
        <f>IFERROR(VLOOKUP(A342,Grootboekschema!$A$1:$B$129,2,0), "")</f>
        <v/>
      </c>
    </row>
    <row r="343">
      <c r="B343">
        <f>IFERROR(VLOOKUP(A343,Grootboekschema!$A$1:$B$129,2,0), "")</f>
        <v/>
      </c>
    </row>
    <row r="344">
      <c r="B344">
        <f>IFERROR(VLOOKUP(A344,Grootboekschema!$A$1:$B$129,2,0), "")</f>
        <v/>
      </c>
    </row>
    <row r="345">
      <c r="B345">
        <f>IFERROR(VLOOKUP(A345,Grootboekschema!$A$1:$B$129,2,0), "")</f>
        <v/>
      </c>
    </row>
    <row r="346">
      <c r="B346">
        <f>IFERROR(VLOOKUP(A346,Grootboekschema!$A$1:$B$129,2,0), "")</f>
        <v/>
      </c>
    </row>
    <row r="347">
      <c r="B347">
        <f>IFERROR(VLOOKUP(A347,Grootboekschema!$A$1:$B$129,2,0), "")</f>
        <v/>
      </c>
    </row>
    <row r="348">
      <c r="B348">
        <f>IFERROR(VLOOKUP(A348,Grootboekschema!$A$1:$B$129,2,0), "")</f>
        <v/>
      </c>
    </row>
    <row r="349">
      <c r="B349">
        <f>IFERROR(VLOOKUP(A349,Grootboekschema!$A$1:$B$129,2,0), "")</f>
        <v/>
      </c>
    </row>
    <row r="350">
      <c r="B350">
        <f>IFERROR(VLOOKUP(A350,Grootboekschema!$A$1:$B$129,2,0), "")</f>
        <v/>
      </c>
    </row>
    <row r="351">
      <c r="B351">
        <f>IFERROR(VLOOKUP(A351,Grootboekschema!$A$1:$B$129,2,0), "")</f>
        <v/>
      </c>
    </row>
    <row r="352">
      <c r="B352">
        <f>IFERROR(VLOOKUP(A352,Grootboekschema!$A$1:$B$129,2,0), "")</f>
        <v/>
      </c>
    </row>
    <row r="353">
      <c r="B353">
        <f>IFERROR(VLOOKUP(A353,Grootboekschema!$A$1:$B$129,2,0), "")</f>
        <v/>
      </c>
    </row>
    <row r="354">
      <c r="B354">
        <f>IFERROR(VLOOKUP(A354,Grootboekschema!$A$1:$B$129,2,0), "")</f>
        <v/>
      </c>
    </row>
    <row r="355">
      <c r="B355">
        <f>IFERROR(VLOOKUP(A355,Grootboekschema!$A$1:$B$129,2,0), "")</f>
        <v/>
      </c>
    </row>
    <row r="356">
      <c r="B356">
        <f>IFERROR(VLOOKUP(A356,Grootboekschema!$A$1:$B$129,2,0), "")</f>
        <v/>
      </c>
    </row>
    <row r="357">
      <c r="B357">
        <f>IFERROR(VLOOKUP(A357,Grootboekschema!$A$1:$B$129,2,0), "")</f>
        <v/>
      </c>
    </row>
    <row r="358">
      <c r="B358">
        <f>IFERROR(VLOOKUP(A358,Grootboekschema!$A$1:$B$129,2,0), "")</f>
        <v/>
      </c>
    </row>
    <row r="359">
      <c r="B359">
        <f>IFERROR(VLOOKUP(A359,Grootboekschema!$A$1:$B$129,2,0), "")</f>
        <v/>
      </c>
    </row>
    <row r="360">
      <c r="B360">
        <f>IFERROR(VLOOKUP(A360,Grootboekschema!$A$1:$B$129,2,0), "")</f>
        <v/>
      </c>
    </row>
    <row r="361">
      <c r="B361">
        <f>IFERROR(VLOOKUP(A361,Grootboekschema!$A$1:$B$129,2,0), "")</f>
        <v/>
      </c>
    </row>
    <row r="362">
      <c r="B362">
        <f>IFERROR(VLOOKUP(A362,Grootboekschema!$A$1:$B$129,2,0), "")</f>
        <v/>
      </c>
    </row>
    <row r="363">
      <c r="B363">
        <f>IFERROR(VLOOKUP(A363,Grootboekschema!$A$1:$B$129,2,0), "")</f>
        <v/>
      </c>
    </row>
    <row r="364">
      <c r="B364">
        <f>IFERROR(VLOOKUP(A364,Grootboekschema!$A$1:$B$129,2,0), "")</f>
        <v/>
      </c>
    </row>
    <row r="365">
      <c r="B365">
        <f>IFERROR(VLOOKUP(A365,Grootboekschema!$A$1:$B$129,2,0), "")</f>
        <v/>
      </c>
    </row>
    <row r="366">
      <c r="B366">
        <f>IFERROR(VLOOKUP(A366,Grootboekschema!$A$1:$B$129,2,0), "")</f>
        <v/>
      </c>
    </row>
    <row r="367">
      <c r="B367">
        <f>IFERROR(VLOOKUP(A367,Grootboekschema!$A$1:$B$129,2,0), "")</f>
        <v/>
      </c>
    </row>
    <row r="368">
      <c r="B368">
        <f>IFERROR(VLOOKUP(A368,Grootboekschema!$A$1:$B$129,2,0), "")</f>
        <v/>
      </c>
    </row>
    <row r="369">
      <c r="B369">
        <f>IFERROR(VLOOKUP(A369,Grootboekschema!$A$1:$B$129,2,0), "")</f>
        <v/>
      </c>
    </row>
    <row r="370">
      <c r="B370">
        <f>IFERROR(VLOOKUP(A370,Grootboekschema!$A$1:$B$129,2,0), "")</f>
        <v/>
      </c>
    </row>
    <row r="371">
      <c r="B371">
        <f>IFERROR(VLOOKUP(A371,Grootboekschema!$A$1:$B$129,2,0), "")</f>
        <v/>
      </c>
    </row>
    <row r="372">
      <c r="B372">
        <f>IFERROR(VLOOKUP(A372,Grootboekschema!$A$1:$B$129,2,0), "")</f>
        <v/>
      </c>
    </row>
    <row r="373">
      <c r="B373">
        <f>IFERROR(VLOOKUP(A373,Grootboekschema!$A$1:$B$129,2,0), "")</f>
        <v/>
      </c>
    </row>
    <row r="374">
      <c r="B374">
        <f>IFERROR(VLOOKUP(A374,Grootboekschema!$A$1:$B$129,2,0), "")</f>
        <v/>
      </c>
    </row>
    <row r="375">
      <c r="B375">
        <f>IFERROR(VLOOKUP(A375,Grootboekschema!$A$1:$B$129,2,0), "")</f>
        <v/>
      </c>
    </row>
    <row r="376">
      <c r="B376">
        <f>IFERROR(VLOOKUP(A376,Grootboekschema!$A$1:$B$129,2,0), "")</f>
        <v/>
      </c>
    </row>
    <row r="377">
      <c r="B377">
        <f>IFERROR(VLOOKUP(A377,Grootboekschema!$A$1:$B$129,2,0), "")</f>
        <v/>
      </c>
    </row>
    <row r="378">
      <c r="B378">
        <f>IFERROR(VLOOKUP(A378,Grootboekschema!$A$1:$B$129,2,0), "")</f>
        <v/>
      </c>
    </row>
    <row r="379">
      <c r="B379">
        <f>IFERROR(VLOOKUP(A379,Grootboekschema!$A$1:$B$129,2,0), "")</f>
        <v/>
      </c>
    </row>
    <row r="380">
      <c r="B380">
        <f>IFERROR(VLOOKUP(A380,Grootboekschema!$A$1:$B$129,2,0), "")</f>
        <v/>
      </c>
    </row>
    <row r="381">
      <c r="B381">
        <f>IFERROR(VLOOKUP(A381,Grootboekschema!$A$1:$B$129,2,0), "")</f>
        <v/>
      </c>
    </row>
    <row r="382">
      <c r="B382">
        <f>IFERROR(VLOOKUP(A382,Grootboekschema!$A$1:$B$129,2,0), "")</f>
        <v/>
      </c>
    </row>
    <row r="383">
      <c r="B383">
        <f>IFERROR(VLOOKUP(A383,Grootboekschema!$A$1:$B$129,2,0), "")</f>
        <v/>
      </c>
    </row>
    <row r="384">
      <c r="B384">
        <f>IFERROR(VLOOKUP(A384,Grootboekschema!$A$1:$B$129,2,0), "")</f>
        <v/>
      </c>
    </row>
    <row r="385">
      <c r="B385">
        <f>IFERROR(VLOOKUP(A385,Grootboekschema!$A$1:$B$129,2,0), "")</f>
        <v/>
      </c>
    </row>
    <row r="386">
      <c r="B386">
        <f>IFERROR(VLOOKUP(A386,Grootboekschema!$A$1:$B$129,2,0), "")</f>
        <v/>
      </c>
    </row>
    <row r="387">
      <c r="B387">
        <f>IFERROR(VLOOKUP(A387,Grootboekschema!$A$1:$B$129,2,0), "")</f>
        <v/>
      </c>
    </row>
    <row r="388">
      <c r="B388">
        <f>IFERROR(VLOOKUP(A388,Grootboekschema!$A$1:$B$129,2,0), "")</f>
        <v/>
      </c>
    </row>
    <row r="389">
      <c r="B389">
        <f>IFERROR(VLOOKUP(A389,Grootboekschema!$A$1:$B$129,2,0), "")</f>
        <v/>
      </c>
    </row>
    <row r="390">
      <c r="B390">
        <f>IFERROR(VLOOKUP(A390,Grootboekschema!$A$1:$B$129,2,0), "")</f>
        <v/>
      </c>
    </row>
    <row r="391">
      <c r="B391">
        <f>IFERROR(VLOOKUP(A391,Grootboekschema!$A$1:$B$129,2,0), "")</f>
        <v/>
      </c>
    </row>
    <row r="392">
      <c r="B392">
        <f>IFERROR(VLOOKUP(A392,Grootboekschema!$A$1:$B$129,2,0), "")</f>
        <v/>
      </c>
    </row>
    <row r="393">
      <c r="B393">
        <f>IFERROR(VLOOKUP(A393,Grootboekschema!$A$1:$B$129,2,0), "")</f>
        <v/>
      </c>
    </row>
    <row r="394">
      <c r="B394">
        <f>IFERROR(VLOOKUP(A394,Grootboekschema!$A$1:$B$129,2,0), "")</f>
        <v/>
      </c>
    </row>
    <row r="395">
      <c r="B395">
        <f>IFERROR(VLOOKUP(A395,Grootboekschema!$A$1:$B$129,2,0), "")</f>
        <v/>
      </c>
    </row>
    <row r="396">
      <c r="B396">
        <f>IFERROR(VLOOKUP(A396,Grootboekschema!$A$1:$B$129,2,0), "")</f>
        <v/>
      </c>
    </row>
    <row r="397">
      <c r="B397">
        <f>IFERROR(VLOOKUP(A397,Grootboekschema!$A$1:$B$129,2,0), "")</f>
        <v/>
      </c>
    </row>
    <row r="398">
      <c r="B398">
        <f>IFERROR(VLOOKUP(A398,Grootboekschema!$A$1:$B$129,2,0), "")</f>
        <v/>
      </c>
    </row>
    <row r="399">
      <c r="B399">
        <f>IFERROR(VLOOKUP(A399,Grootboekschema!$A$1:$B$129,2,0), "")</f>
        <v/>
      </c>
    </row>
    <row r="400">
      <c r="B400">
        <f>IFERROR(VLOOKUP(A400,Grootboekschema!$A$1:$B$129,2,0), "")</f>
        <v/>
      </c>
    </row>
    <row r="401">
      <c r="B401">
        <f>IFERROR(VLOOKUP(A401,Grootboekschema!$A$1:$B$129,2,0), "")</f>
        <v/>
      </c>
    </row>
    <row r="402">
      <c r="B402">
        <f>IFERROR(VLOOKUP(A402,Grootboekschema!$A$1:$B$129,2,0), "")</f>
        <v/>
      </c>
    </row>
    <row r="403">
      <c r="B403">
        <f>IFERROR(VLOOKUP(A403,Grootboekschema!$A$1:$B$129,2,0), "")</f>
        <v/>
      </c>
    </row>
    <row r="404">
      <c r="B404">
        <f>IFERROR(VLOOKUP(A404,Grootboekschema!$A$1:$B$129,2,0), "")</f>
        <v/>
      </c>
    </row>
    <row r="405">
      <c r="B405">
        <f>IFERROR(VLOOKUP(A405,Grootboekschema!$A$1:$B$129,2,0), "")</f>
        <v/>
      </c>
    </row>
    <row r="406">
      <c r="B406">
        <f>IFERROR(VLOOKUP(A406,Grootboekschema!$A$1:$B$129,2,0), "")</f>
        <v/>
      </c>
    </row>
    <row r="407">
      <c r="B407">
        <f>IFERROR(VLOOKUP(A407,Grootboekschema!$A$1:$B$129,2,0), "")</f>
        <v/>
      </c>
    </row>
    <row r="408">
      <c r="B408">
        <f>IFERROR(VLOOKUP(A408,Grootboekschema!$A$1:$B$129,2,0), "")</f>
        <v/>
      </c>
    </row>
    <row r="409">
      <c r="B409">
        <f>IFERROR(VLOOKUP(A409,Grootboekschema!$A$1:$B$129,2,0), "")</f>
        <v/>
      </c>
    </row>
    <row r="410">
      <c r="B410">
        <f>IFERROR(VLOOKUP(A410,Grootboekschema!$A$1:$B$129,2,0), "")</f>
        <v/>
      </c>
    </row>
    <row r="411">
      <c r="B411">
        <f>IFERROR(VLOOKUP(A411,Grootboekschema!$A$1:$B$129,2,0), "")</f>
        <v/>
      </c>
    </row>
    <row r="412">
      <c r="B412">
        <f>IFERROR(VLOOKUP(A412,Grootboekschema!$A$1:$B$129,2,0), "")</f>
        <v/>
      </c>
    </row>
    <row r="413">
      <c r="B413">
        <f>IFERROR(VLOOKUP(A413,Grootboekschema!$A$1:$B$129,2,0), "")</f>
        <v/>
      </c>
    </row>
    <row r="414">
      <c r="B414">
        <f>IFERROR(VLOOKUP(A414,Grootboekschema!$A$1:$B$129,2,0), "")</f>
        <v/>
      </c>
    </row>
    <row r="415">
      <c r="B415">
        <f>IFERROR(VLOOKUP(A415,Grootboekschema!$A$1:$B$129,2,0), "")</f>
        <v/>
      </c>
    </row>
    <row r="416">
      <c r="B416">
        <f>IFERROR(VLOOKUP(A416,Grootboekschema!$A$1:$B$129,2,0), "")</f>
        <v/>
      </c>
    </row>
    <row r="417">
      <c r="B417">
        <f>IFERROR(VLOOKUP(A417,Grootboekschema!$A$1:$B$129,2,0), "")</f>
        <v/>
      </c>
    </row>
    <row r="418">
      <c r="B418">
        <f>IFERROR(VLOOKUP(A418,Grootboekschema!$A$1:$B$129,2,0), "")</f>
        <v/>
      </c>
    </row>
    <row r="419">
      <c r="B419">
        <f>IFERROR(VLOOKUP(A419,Grootboekschema!$A$1:$B$129,2,0), "")</f>
        <v/>
      </c>
    </row>
    <row r="420">
      <c r="B420">
        <f>IFERROR(VLOOKUP(A420,Grootboekschema!$A$1:$B$129,2,0), "")</f>
        <v/>
      </c>
    </row>
    <row r="421">
      <c r="B421">
        <f>IFERROR(VLOOKUP(A421,Grootboekschema!$A$1:$B$129,2,0), "")</f>
        <v/>
      </c>
    </row>
    <row r="422">
      <c r="B422">
        <f>IFERROR(VLOOKUP(A422,Grootboekschema!$A$1:$B$129,2,0), "")</f>
        <v/>
      </c>
    </row>
    <row r="423">
      <c r="B423">
        <f>IFERROR(VLOOKUP(A423,Grootboekschema!$A$1:$B$129,2,0), "")</f>
        <v/>
      </c>
    </row>
    <row r="424">
      <c r="B424">
        <f>IFERROR(VLOOKUP(A424,Grootboekschema!$A$1:$B$129,2,0), "")</f>
        <v/>
      </c>
    </row>
    <row r="425">
      <c r="B425">
        <f>IFERROR(VLOOKUP(A425,Grootboekschema!$A$1:$B$129,2,0), "")</f>
        <v/>
      </c>
    </row>
    <row r="426">
      <c r="B426">
        <f>IFERROR(VLOOKUP(A426,Grootboekschema!$A$1:$B$129,2,0), "")</f>
        <v/>
      </c>
    </row>
    <row r="427">
      <c r="B427">
        <f>IFERROR(VLOOKUP(A427,Grootboekschema!$A$1:$B$129,2,0), "")</f>
        <v/>
      </c>
    </row>
    <row r="428">
      <c r="B428">
        <f>IFERROR(VLOOKUP(A428,Grootboekschema!$A$1:$B$129,2,0), "")</f>
        <v/>
      </c>
    </row>
    <row r="429">
      <c r="B429">
        <f>IFERROR(VLOOKUP(A429,Grootboekschema!$A$1:$B$129,2,0), "")</f>
        <v/>
      </c>
    </row>
    <row r="430">
      <c r="B430">
        <f>IFERROR(VLOOKUP(A430,Grootboekschema!$A$1:$B$129,2,0), "")</f>
        <v/>
      </c>
    </row>
    <row r="431">
      <c r="B431">
        <f>IFERROR(VLOOKUP(A431,Grootboekschema!$A$1:$B$129,2,0), "")</f>
        <v/>
      </c>
    </row>
    <row r="432">
      <c r="B432">
        <f>IFERROR(VLOOKUP(A432,Grootboekschema!$A$1:$B$129,2,0), "")</f>
        <v/>
      </c>
    </row>
    <row r="433">
      <c r="B433">
        <f>IFERROR(VLOOKUP(A433,Grootboekschema!$A$1:$B$129,2,0), "")</f>
        <v/>
      </c>
    </row>
    <row r="434">
      <c r="B434">
        <f>IFERROR(VLOOKUP(A434,Grootboekschema!$A$1:$B$129,2,0), "")</f>
        <v/>
      </c>
    </row>
    <row r="435">
      <c r="B435">
        <f>IFERROR(VLOOKUP(A435,Grootboekschema!$A$1:$B$129,2,0), "")</f>
        <v/>
      </c>
    </row>
    <row r="436">
      <c r="B436">
        <f>IFERROR(VLOOKUP(A436,Grootboekschema!$A$1:$B$129,2,0), "")</f>
        <v/>
      </c>
    </row>
    <row r="437">
      <c r="B437">
        <f>IFERROR(VLOOKUP(A437,Grootboekschema!$A$1:$B$129,2,0), "")</f>
        <v/>
      </c>
    </row>
    <row r="438">
      <c r="B438">
        <f>IFERROR(VLOOKUP(A438,Grootboekschema!$A$1:$B$129,2,0), "")</f>
        <v/>
      </c>
    </row>
    <row r="439">
      <c r="B439">
        <f>IFERROR(VLOOKUP(A439,Grootboekschema!$A$1:$B$129,2,0), "")</f>
        <v/>
      </c>
    </row>
    <row r="440">
      <c r="B440">
        <f>IFERROR(VLOOKUP(A440,Grootboekschema!$A$1:$B$129,2,0), "")</f>
        <v/>
      </c>
    </row>
    <row r="441">
      <c r="B441">
        <f>IFERROR(VLOOKUP(A441,Grootboekschema!$A$1:$B$129,2,0), "")</f>
        <v/>
      </c>
    </row>
    <row r="442">
      <c r="B442">
        <f>IFERROR(VLOOKUP(A442,Grootboekschema!$A$1:$B$129,2,0), "")</f>
        <v/>
      </c>
    </row>
    <row r="443">
      <c r="B443">
        <f>IFERROR(VLOOKUP(A443,Grootboekschema!$A$1:$B$129,2,0), "")</f>
        <v/>
      </c>
    </row>
    <row r="444">
      <c r="B444">
        <f>IFERROR(VLOOKUP(A444,Grootboekschema!$A$1:$B$129,2,0), "")</f>
        <v/>
      </c>
    </row>
    <row r="445">
      <c r="B445">
        <f>IFERROR(VLOOKUP(A445,Grootboekschema!$A$1:$B$129,2,0), "")</f>
        <v/>
      </c>
    </row>
    <row r="446">
      <c r="B446">
        <f>IFERROR(VLOOKUP(A446,Grootboekschema!$A$1:$B$129,2,0), "")</f>
        <v/>
      </c>
    </row>
    <row r="447">
      <c r="B447">
        <f>IFERROR(VLOOKUP(A447,Grootboekschema!$A$1:$B$129,2,0), "")</f>
        <v/>
      </c>
    </row>
    <row r="448">
      <c r="B448">
        <f>IFERROR(VLOOKUP(A448,Grootboekschema!$A$1:$B$129,2,0), "")</f>
        <v/>
      </c>
    </row>
    <row r="449">
      <c r="B449">
        <f>IFERROR(VLOOKUP(A449,Grootboekschema!$A$1:$B$129,2,0), "")</f>
        <v/>
      </c>
    </row>
    <row r="450">
      <c r="B450">
        <f>IFERROR(VLOOKUP(A450,Grootboekschema!$A$1:$B$129,2,0), "")</f>
        <v/>
      </c>
    </row>
    <row r="451">
      <c r="B451">
        <f>IFERROR(VLOOKUP(A451,Grootboekschema!$A$1:$B$129,2,0), "")</f>
        <v/>
      </c>
    </row>
    <row r="452">
      <c r="B452">
        <f>IFERROR(VLOOKUP(A452,Grootboekschema!$A$1:$B$129,2,0), "")</f>
        <v/>
      </c>
    </row>
    <row r="453">
      <c r="B453">
        <f>IFERROR(VLOOKUP(A453,Grootboekschema!$A$1:$B$129,2,0), "")</f>
        <v/>
      </c>
    </row>
    <row r="454">
      <c r="B454">
        <f>IFERROR(VLOOKUP(A454,Grootboekschema!$A$1:$B$129,2,0), "")</f>
        <v/>
      </c>
    </row>
    <row r="455">
      <c r="B455">
        <f>IFERROR(VLOOKUP(A455,Grootboekschema!$A$1:$B$129,2,0), "")</f>
        <v/>
      </c>
    </row>
    <row r="456">
      <c r="B456">
        <f>IFERROR(VLOOKUP(A456,Grootboekschema!$A$1:$B$129,2,0), "")</f>
        <v/>
      </c>
    </row>
    <row r="457">
      <c r="B457">
        <f>IFERROR(VLOOKUP(A457,Grootboekschema!$A$1:$B$129,2,0), "")</f>
        <v/>
      </c>
    </row>
    <row r="458">
      <c r="B458">
        <f>IFERROR(VLOOKUP(A458,Grootboekschema!$A$1:$B$129,2,0), "")</f>
        <v/>
      </c>
    </row>
    <row r="459">
      <c r="B459">
        <f>IFERROR(VLOOKUP(A459,Grootboekschema!$A$1:$B$129,2,0), "")</f>
        <v/>
      </c>
    </row>
    <row r="460">
      <c r="B460">
        <f>IFERROR(VLOOKUP(A460,Grootboekschema!$A$1:$B$129,2,0), "")</f>
        <v/>
      </c>
    </row>
    <row r="461">
      <c r="B461">
        <f>IFERROR(VLOOKUP(A461,Grootboekschema!$A$1:$B$129,2,0), "")</f>
        <v/>
      </c>
    </row>
    <row r="462">
      <c r="B462">
        <f>IFERROR(VLOOKUP(A462,Grootboekschema!$A$1:$B$129,2,0), "")</f>
        <v/>
      </c>
    </row>
    <row r="463">
      <c r="B463">
        <f>IFERROR(VLOOKUP(A463,Grootboekschema!$A$1:$B$129,2,0), "")</f>
        <v/>
      </c>
    </row>
    <row r="464">
      <c r="B464">
        <f>IFERROR(VLOOKUP(A464,Grootboekschema!$A$1:$B$129,2,0), "")</f>
        <v/>
      </c>
    </row>
    <row r="465">
      <c r="B465">
        <f>IFERROR(VLOOKUP(A465,Grootboekschema!$A$1:$B$129,2,0), "")</f>
        <v/>
      </c>
    </row>
    <row r="466">
      <c r="B466">
        <f>IFERROR(VLOOKUP(A466,Grootboekschema!$A$1:$B$129,2,0), "")</f>
        <v/>
      </c>
    </row>
    <row r="467">
      <c r="B467">
        <f>IFERROR(VLOOKUP(A467,Grootboekschema!$A$1:$B$129,2,0), "")</f>
        <v/>
      </c>
    </row>
    <row r="468">
      <c r="B468">
        <f>IFERROR(VLOOKUP(A468,Grootboekschema!$A$1:$B$129,2,0), "")</f>
        <v/>
      </c>
    </row>
    <row r="469">
      <c r="B469">
        <f>IFERROR(VLOOKUP(A469,Grootboekschema!$A$1:$B$129,2,0), "")</f>
        <v/>
      </c>
    </row>
    <row r="470">
      <c r="B470">
        <f>IFERROR(VLOOKUP(A470,Grootboekschema!$A$1:$B$129,2,0), "")</f>
        <v/>
      </c>
    </row>
    <row r="471">
      <c r="B471">
        <f>IFERROR(VLOOKUP(A471,Grootboekschema!$A$1:$B$129,2,0), "")</f>
        <v/>
      </c>
    </row>
    <row r="472">
      <c r="B472">
        <f>IFERROR(VLOOKUP(A472,Grootboekschema!$A$1:$B$129,2,0), "")</f>
        <v/>
      </c>
    </row>
    <row r="473">
      <c r="B473">
        <f>IFERROR(VLOOKUP(A473,Grootboekschema!$A$1:$B$129,2,0), "")</f>
        <v/>
      </c>
    </row>
    <row r="474">
      <c r="B474">
        <f>IFERROR(VLOOKUP(A474,Grootboekschema!$A$1:$B$129,2,0), "")</f>
        <v/>
      </c>
    </row>
    <row r="475">
      <c r="B475">
        <f>IFERROR(VLOOKUP(A475,Grootboekschema!$A$1:$B$129,2,0), "")</f>
        <v/>
      </c>
    </row>
    <row r="476">
      <c r="B476">
        <f>IFERROR(VLOOKUP(A476,Grootboekschema!$A$1:$B$129,2,0), "")</f>
        <v/>
      </c>
    </row>
    <row r="477">
      <c r="B477">
        <f>IFERROR(VLOOKUP(A477,Grootboekschema!$A$1:$B$129,2,0), "")</f>
        <v/>
      </c>
    </row>
    <row r="478">
      <c r="B478">
        <f>IFERROR(VLOOKUP(A478,Grootboekschema!$A$1:$B$129,2,0), "")</f>
        <v/>
      </c>
    </row>
    <row r="479">
      <c r="B479">
        <f>IFERROR(VLOOKUP(A479,Grootboekschema!$A$1:$B$129,2,0), "")</f>
        <v/>
      </c>
    </row>
    <row r="480">
      <c r="B480">
        <f>IFERROR(VLOOKUP(A480,Grootboekschema!$A$1:$B$129,2,0), "")</f>
        <v/>
      </c>
    </row>
    <row r="481">
      <c r="B481">
        <f>IFERROR(VLOOKUP(A481,Grootboekschema!$A$1:$B$129,2,0), "")</f>
        <v/>
      </c>
    </row>
    <row r="482">
      <c r="B482">
        <f>IFERROR(VLOOKUP(A482,Grootboekschema!$A$1:$B$129,2,0), "")</f>
        <v/>
      </c>
    </row>
    <row r="483">
      <c r="B483">
        <f>IFERROR(VLOOKUP(A483,Grootboekschema!$A$1:$B$129,2,0), "")</f>
        <v/>
      </c>
    </row>
    <row r="484">
      <c r="B484">
        <f>IFERROR(VLOOKUP(A484,Grootboekschema!$A$1:$B$129,2,0), "")</f>
        <v/>
      </c>
    </row>
    <row r="485">
      <c r="B485">
        <f>IFERROR(VLOOKUP(A485,Grootboekschema!$A$1:$B$129,2,0), "")</f>
        <v/>
      </c>
    </row>
    <row r="486">
      <c r="B486">
        <f>IFERROR(VLOOKUP(A486,Grootboekschema!$A$1:$B$129,2,0), "")</f>
        <v/>
      </c>
    </row>
    <row r="487">
      <c r="B487">
        <f>IFERROR(VLOOKUP(A487,Grootboekschema!$A$1:$B$129,2,0), "")</f>
        <v/>
      </c>
    </row>
    <row r="488">
      <c r="B488">
        <f>IFERROR(VLOOKUP(A488,Grootboekschema!$A$1:$B$129,2,0), "")</f>
        <v/>
      </c>
    </row>
    <row r="489">
      <c r="B489">
        <f>IFERROR(VLOOKUP(A489,Grootboekschema!$A$1:$B$129,2,0), "")</f>
        <v/>
      </c>
    </row>
    <row r="490">
      <c r="B490">
        <f>IFERROR(VLOOKUP(A490,Grootboekschema!$A$1:$B$129,2,0), "")</f>
        <v/>
      </c>
    </row>
    <row r="491">
      <c r="B491">
        <f>IFERROR(VLOOKUP(A491,Grootboekschema!$A$1:$B$129,2,0), "")</f>
        <v/>
      </c>
    </row>
    <row r="492">
      <c r="B492">
        <f>IFERROR(VLOOKUP(A492,Grootboekschema!$A$1:$B$129,2,0), "")</f>
        <v/>
      </c>
    </row>
    <row r="493">
      <c r="B493">
        <f>IFERROR(VLOOKUP(A493,Grootboekschema!$A$1:$B$129,2,0), "")</f>
        <v/>
      </c>
    </row>
    <row r="494">
      <c r="B494">
        <f>IFERROR(VLOOKUP(A494,Grootboekschema!$A$1:$B$129,2,0), "")</f>
        <v/>
      </c>
    </row>
    <row r="495">
      <c r="B495">
        <f>IFERROR(VLOOKUP(A495,Grootboekschema!$A$1:$B$129,2,0), "")</f>
        <v/>
      </c>
    </row>
    <row r="496">
      <c r="B496">
        <f>IFERROR(VLOOKUP(A496,Grootboekschema!$A$1:$B$129,2,0), "")</f>
        <v/>
      </c>
    </row>
    <row r="497">
      <c r="B497">
        <f>IFERROR(VLOOKUP(A497,Grootboekschema!$A$1:$B$129,2,0), "")</f>
        <v/>
      </c>
    </row>
    <row r="498">
      <c r="B498">
        <f>IFERROR(VLOOKUP(A498,Grootboekschema!$A$1:$B$129,2,0), "")</f>
        <v/>
      </c>
    </row>
    <row r="499">
      <c r="B499">
        <f>IFERROR(VLOOKUP(A499,Grootboekschema!$A$1:$B$129,2,0), "")</f>
        <v/>
      </c>
    </row>
    <row r="500">
      <c r="B500">
        <f>IFERROR(VLOOKUP(A500,Grootboekschema!$A$1:$B$129,2,0), "")</f>
        <v/>
      </c>
    </row>
    <row r="501">
      <c r="B501">
        <f>IFERROR(VLOOKUP(A501,Grootboekschema!$A$1:$B$129,2,0), "")</f>
        <v/>
      </c>
    </row>
    <row r="502">
      <c r="B502">
        <f>IFERROR(VLOOKUP(A502,Grootboekschema!$A$1:$B$129,2,0), "")</f>
        <v/>
      </c>
    </row>
    <row r="503">
      <c r="B503">
        <f>IFERROR(VLOOKUP(A503,Grootboekschema!$A$1:$B$129,2,0), "")</f>
        <v/>
      </c>
    </row>
    <row r="504">
      <c r="B504">
        <f>IFERROR(VLOOKUP(A504,Grootboekschema!$A$1:$B$129,2,0), "")</f>
        <v/>
      </c>
    </row>
    <row r="505">
      <c r="B505">
        <f>IFERROR(VLOOKUP(A505,Grootboekschema!$A$1:$B$129,2,0), "")</f>
        <v/>
      </c>
    </row>
    <row r="506">
      <c r="B506">
        <f>IFERROR(VLOOKUP(A506,Grootboekschema!$A$1:$B$129,2,0), "")</f>
        <v/>
      </c>
    </row>
    <row r="507">
      <c r="B507">
        <f>IFERROR(VLOOKUP(A507,Grootboekschema!$A$1:$B$129,2,0), "")</f>
        <v/>
      </c>
    </row>
    <row r="508">
      <c r="B508">
        <f>IFERROR(VLOOKUP(A508,Grootboekschema!$A$1:$B$129,2,0), "")</f>
        <v/>
      </c>
    </row>
    <row r="509">
      <c r="B509">
        <f>IFERROR(VLOOKUP(A509,Grootboekschema!$A$1:$B$129,2,0), "")</f>
        <v/>
      </c>
    </row>
    <row r="510">
      <c r="B510">
        <f>IFERROR(VLOOKUP(A510,Grootboekschema!$A$1:$B$129,2,0), "")</f>
        <v/>
      </c>
    </row>
    <row r="511">
      <c r="B511">
        <f>IFERROR(VLOOKUP(A511,Grootboekschema!$A$1:$B$129,2,0), "")</f>
        <v/>
      </c>
    </row>
    <row r="512">
      <c r="B512">
        <f>IFERROR(VLOOKUP(A512,Grootboekschema!$A$1:$B$129,2,0), "")</f>
        <v/>
      </c>
    </row>
    <row r="513">
      <c r="B513">
        <f>IFERROR(VLOOKUP(A513,Grootboekschema!$A$1:$B$129,2,0), "")</f>
        <v/>
      </c>
    </row>
    <row r="514">
      <c r="B514">
        <f>IFERROR(VLOOKUP(A514,Grootboekschema!$A$1:$B$129,2,0), "")</f>
        <v/>
      </c>
    </row>
    <row r="515">
      <c r="B515">
        <f>IFERROR(VLOOKUP(A515,Grootboekschema!$A$1:$B$129,2,0), "")</f>
        <v/>
      </c>
    </row>
    <row r="516">
      <c r="B516">
        <f>IFERROR(VLOOKUP(A516,Grootboekschema!$A$1:$B$129,2,0), "")</f>
        <v/>
      </c>
    </row>
    <row r="517">
      <c r="B517">
        <f>IFERROR(VLOOKUP(A517,Grootboekschema!$A$1:$B$129,2,0), "")</f>
        <v/>
      </c>
    </row>
    <row r="518">
      <c r="B518">
        <f>IFERROR(VLOOKUP(A518,Grootboekschema!$A$1:$B$129,2,0), "")</f>
        <v/>
      </c>
    </row>
    <row r="519">
      <c r="B519">
        <f>IFERROR(VLOOKUP(A519,Grootboekschema!$A$1:$B$129,2,0), "")</f>
        <v/>
      </c>
    </row>
    <row r="520">
      <c r="B520">
        <f>IFERROR(VLOOKUP(A520,Grootboekschema!$A$1:$B$129,2,0), "")</f>
        <v/>
      </c>
    </row>
    <row r="521">
      <c r="B521">
        <f>IFERROR(VLOOKUP(A521,Grootboekschema!$A$1:$B$129,2,0), "")</f>
        <v/>
      </c>
    </row>
    <row r="522">
      <c r="B522">
        <f>IFERROR(VLOOKUP(A522,Grootboekschema!$A$1:$B$129,2,0), "")</f>
        <v/>
      </c>
    </row>
    <row r="523">
      <c r="B523">
        <f>IFERROR(VLOOKUP(A523,Grootboekschema!$A$1:$B$129,2,0), "")</f>
        <v/>
      </c>
    </row>
    <row r="524">
      <c r="B524">
        <f>IFERROR(VLOOKUP(A524,Grootboekschema!$A$1:$B$129,2,0), "")</f>
        <v/>
      </c>
    </row>
    <row r="525">
      <c r="B525">
        <f>IFERROR(VLOOKUP(A525,Grootboekschema!$A$1:$B$129,2,0), "")</f>
        <v/>
      </c>
    </row>
    <row r="526">
      <c r="B526">
        <f>IFERROR(VLOOKUP(A526,Grootboekschema!$A$1:$B$129,2,0), "")</f>
        <v/>
      </c>
    </row>
    <row r="527">
      <c r="B527">
        <f>IFERROR(VLOOKUP(A527,Grootboekschema!$A$1:$B$129,2,0), "")</f>
        <v/>
      </c>
    </row>
    <row r="528">
      <c r="B528">
        <f>IFERROR(VLOOKUP(A528,Grootboekschema!$A$1:$B$129,2,0), "")</f>
        <v/>
      </c>
    </row>
    <row r="529">
      <c r="B529">
        <f>IFERROR(VLOOKUP(A529,Grootboekschema!$A$1:$B$129,2,0), "")</f>
        <v/>
      </c>
    </row>
    <row r="530">
      <c r="B530">
        <f>IFERROR(VLOOKUP(A530,Grootboekschema!$A$1:$B$129,2,0), "")</f>
        <v/>
      </c>
    </row>
    <row r="531">
      <c r="B531">
        <f>IFERROR(VLOOKUP(A531,Grootboekschema!$A$1:$B$129,2,0), "")</f>
        <v/>
      </c>
    </row>
    <row r="532">
      <c r="B532">
        <f>IFERROR(VLOOKUP(A532,Grootboekschema!$A$1:$B$129,2,0), "")</f>
        <v/>
      </c>
    </row>
    <row r="533">
      <c r="B533">
        <f>IFERROR(VLOOKUP(A533,Grootboekschema!$A$1:$B$129,2,0), "")</f>
        <v/>
      </c>
    </row>
    <row r="534">
      <c r="B534">
        <f>IFERROR(VLOOKUP(A534,Grootboekschema!$A$1:$B$129,2,0), "")</f>
        <v/>
      </c>
    </row>
    <row r="535">
      <c r="B535">
        <f>IFERROR(VLOOKUP(A535,Grootboekschema!$A$1:$B$129,2,0), "")</f>
        <v/>
      </c>
    </row>
    <row r="536">
      <c r="B536">
        <f>IFERROR(VLOOKUP(A536,Grootboekschema!$A$1:$B$129,2,0), "")</f>
        <v/>
      </c>
    </row>
    <row r="537">
      <c r="B537">
        <f>IFERROR(VLOOKUP(A537,Grootboekschema!$A$1:$B$129,2,0), "")</f>
        <v/>
      </c>
    </row>
    <row r="538">
      <c r="B538">
        <f>IFERROR(VLOOKUP(A538,Grootboekschema!$A$1:$B$129,2,0), "")</f>
        <v/>
      </c>
    </row>
    <row r="539">
      <c r="B539">
        <f>IFERROR(VLOOKUP(A539,Grootboekschema!$A$1:$B$129,2,0), "")</f>
        <v/>
      </c>
    </row>
    <row r="540">
      <c r="B540">
        <f>IFERROR(VLOOKUP(A540,Grootboekschema!$A$1:$B$129,2,0), "")</f>
        <v/>
      </c>
    </row>
    <row r="541">
      <c r="B541">
        <f>IFERROR(VLOOKUP(A541,Grootboekschema!$A$1:$B$129,2,0), "")</f>
        <v/>
      </c>
    </row>
    <row r="542">
      <c r="B542">
        <f>IFERROR(VLOOKUP(A542,Grootboekschema!$A$1:$B$129,2,0), "")</f>
        <v/>
      </c>
    </row>
    <row r="543">
      <c r="B543">
        <f>IFERROR(VLOOKUP(A543,Grootboekschema!$A$1:$B$129,2,0), "")</f>
        <v/>
      </c>
    </row>
    <row r="544">
      <c r="B544">
        <f>IFERROR(VLOOKUP(A544,Grootboekschema!$A$1:$B$129,2,0), "")</f>
        <v/>
      </c>
    </row>
    <row r="545">
      <c r="B545">
        <f>IFERROR(VLOOKUP(A545,Grootboekschema!$A$1:$B$129,2,0), "")</f>
        <v/>
      </c>
    </row>
    <row r="546">
      <c r="B546">
        <f>IFERROR(VLOOKUP(A546,Grootboekschema!$A$1:$B$129,2,0), "")</f>
        <v/>
      </c>
    </row>
    <row r="547">
      <c r="B547">
        <f>IFERROR(VLOOKUP(A547,Grootboekschema!$A$1:$B$129,2,0), "")</f>
        <v/>
      </c>
    </row>
    <row r="548">
      <c r="B548">
        <f>IFERROR(VLOOKUP(A548,Grootboekschema!$A$1:$B$129,2,0), "")</f>
        <v/>
      </c>
    </row>
    <row r="549">
      <c r="B549">
        <f>IFERROR(VLOOKUP(A549,Grootboekschema!$A$1:$B$129,2,0), "")</f>
        <v/>
      </c>
    </row>
    <row r="550">
      <c r="B550">
        <f>IFERROR(VLOOKUP(A550,Grootboekschema!$A$1:$B$129,2,0), "")</f>
        <v/>
      </c>
    </row>
    <row r="551">
      <c r="B551">
        <f>IFERROR(VLOOKUP(A551,Grootboekschema!$A$1:$B$129,2,0), "")</f>
        <v/>
      </c>
    </row>
    <row r="552">
      <c r="B552">
        <f>IFERROR(VLOOKUP(A552,Grootboekschema!$A$1:$B$129,2,0), "")</f>
        <v/>
      </c>
    </row>
    <row r="553">
      <c r="B553">
        <f>IFERROR(VLOOKUP(A553,Grootboekschema!$A$1:$B$129,2,0), "")</f>
        <v/>
      </c>
    </row>
    <row r="554">
      <c r="B554">
        <f>IFERROR(VLOOKUP(A554,Grootboekschema!$A$1:$B$129,2,0), "")</f>
        <v/>
      </c>
    </row>
    <row r="555">
      <c r="B555">
        <f>IFERROR(VLOOKUP(A555,Grootboekschema!$A$1:$B$129,2,0), "")</f>
        <v/>
      </c>
    </row>
    <row r="556">
      <c r="B556">
        <f>IFERROR(VLOOKUP(A556,Grootboekschema!$A$1:$B$129,2,0), "")</f>
        <v/>
      </c>
    </row>
    <row r="557">
      <c r="B557">
        <f>IFERROR(VLOOKUP(A557,Grootboekschema!$A$1:$B$129,2,0), "")</f>
        <v/>
      </c>
    </row>
    <row r="558">
      <c r="B558">
        <f>IFERROR(VLOOKUP(A558,Grootboekschema!$A$1:$B$129,2,0), "")</f>
        <v/>
      </c>
    </row>
    <row r="559">
      <c r="B559">
        <f>IFERROR(VLOOKUP(A559,Grootboekschema!$A$1:$B$129,2,0), "")</f>
        <v/>
      </c>
    </row>
    <row r="560">
      <c r="B560">
        <f>IFERROR(VLOOKUP(A560,Grootboekschema!$A$1:$B$129,2,0), "")</f>
        <v/>
      </c>
    </row>
    <row r="561">
      <c r="B561">
        <f>IFERROR(VLOOKUP(A561,Grootboekschema!$A$1:$B$129,2,0), "")</f>
        <v/>
      </c>
    </row>
    <row r="562">
      <c r="B562">
        <f>IFERROR(VLOOKUP(A562,Grootboekschema!$A$1:$B$129,2,0), "")</f>
        <v/>
      </c>
    </row>
    <row r="563">
      <c r="B563">
        <f>IFERROR(VLOOKUP(A563,Grootboekschema!$A$1:$B$129,2,0), "")</f>
        <v/>
      </c>
    </row>
    <row r="564">
      <c r="B564">
        <f>IFERROR(VLOOKUP(A564,Grootboekschema!$A$1:$B$129,2,0), "")</f>
        <v/>
      </c>
    </row>
    <row r="565">
      <c r="B565">
        <f>IFERROR(VLOOKUP(A565,Grootboekschema!$A$1:$B$129,2,0), "")</f>
        <v/>
      </c>
    </row>
    <row r="566">
      <c r="B566">
        <f>IFERROR(VLOOKUP(A566,Grootboekschema!$A$1:$B$129,2,0), "")</f>
        <v/>
      </c>
    </row>
    <row r="567">
      <c r="B567">
        <f>IFERROR(VLOOKUP(A567,Grootboekschema!$A$1:$B$129,2,0), "")</f>
        <v/>
      </c>
    </row>
    <row r="568">
      <c r="B568">
        <f>IFERROR(VLOOKUP(A568,Grootboekschema!$A$1:$B$129,2,0), "")</f>
        <v/>
      </c>
    </row>
    <row r="569">
      <c r="B569">
        <f>IFERROR(VLOOKUP(A569,Grootboekschema!$A$1:$B$129,2,0), "")</f>
        <v/>
      </c>
    </row>
    <row r="570">
      <c r="B570">
        <f>IFERROR(VLOOKUP(A570,Grootboekschema!$A$1:$B$129,2,0), "")</f>
        <v/>
      </c>
    </row>
    <row r="571">
      <c r="B571">
        <f>IFERROR(VLOOKUP(A571,Grootboekschema!$A$1:$B$129,2,0), "")</f>
        <v/>
      </c>
    </row>
    <row r="572">
      <c r="B572">
        <f>IFERROR(VLOOKUP(A572,Grootboekschema!$A$1:$B$129,2,0), "")</f>
        <v/>
      </c>
    </row>
    <row r="573">
      <c r="B573">
        <f>IFERROR(VLOOKUP(A573,Grootboekschema!$A$1:$B$129,2,0), "")</f>
        <v/>
      </c>
    </row>
    <row r="574">
      <c r="B574">
        <f>IFERROR(VLOOKUP(A574,Grootboekschema!$A$1:$B$129,2,0), "")</f>
        <v/>
      </c>
    </row>
    <row r="575">
      <c r="B575">
        <f>IFERROR(VLOOKUP(A575,Grootboekschema!$A$1:$B$129,2,0), "")</f>
        <v/>
      </c>
    </row>
    <row r="576">
      <c r="B576">
        <f>IFERROR(VLOOKUP(A576,Grootboekschema!$A$1:$B$129,2,0), "")</f>
        <v/>
      </c>
    </row>
    <row r="577">
      <c r="B577">
        <f>IFERROR(VLOOKUP(A577,Grootboekschema!$A$1:$B$129,2,0), "")</f>
        <v/>
      </c>
    </row>
    <row r="578">
      <c r="B578">
        <f>IFERROR(VLOOKUP(A578,Grootboekschema!$A$1:$B$129,2,0), "")</f>
        <v/>
      </c>
    </row>
    <row r="579">
      <c r="B579">
        <f>IFERROR(VLOOKUP(A579,Grootboekschema!$A$1:$B$129,2,0), "")</f>
        <v/>
      </c>
    </row>
    <row r="580">
      <c r="B580">
        <f>IFERROR(VLOOKUP(A580,Grootboekschema!$A$1:$B$129,2,0), "")</f>
        <v/>
      </c>
    </row>
    <row r="581">
      <c r="B581">
        <f>IFERROR(VLOOKUP(A581,Grootboekschema!$A$1:$B$129,2,0), "")</f>
        <v/>
      </c>
    </row>
    <row r="582">
      <c r="B582">
        <f>IFERROR(VLOOKUP(A582,Grootboekschema!$A$1:$B$129,2,0), "")</f>
        <v/>
      </c>
    </row>
    <row r="583">
      <c r="B583">
        <f>IFERROR(VLOOKUP(A583,Grootboekschema!$A$1:$B$129,2,0), "")</f>
        <v/>
      </c>
    </row>
    <row r="584">
      <c r="B584">
        <f>IFERROR(VLOOKUP(A584,Grootboekschema!$A$1:$B$129,2,0), "")</f>
        <v/>
      </c>
    </row>
    <row r="585">
      <c r="B585">
        <f>IFERROR(VLOOKUP(A585,Grootboekschema!$A$1:$B$129,2,0), "")</f>
        <v/>
      </c>
    </row>
    <row r="586">
      <c r="B586">
        <f>IFERROR(VLOOKUP(A586,Grootboekschema!$A$1:$B$129,2,0), "")</f>
        <v/>
      </c>
    </row>
    <row r="587">
      <c r="B587">
        <f>IFERROR(VLOOKUP(A587,Grootboekschema!$A$1:$B$129,2,0), "")</f>
        <v/>
      </c>
    </row>
    <row r="588">
      <c r="B588">
        <f>IFERROR(VLOOKUP(A588,Grootboekschema!$A$1:$B$129,2,0), "")</f>
        <v/>
      </c>
    </row>
    <row r="589">
      <c r="B589">
        <f>IFERROR(VLOOKUP(A589,Grootboekschema!$A$1:$B$129,2,0), "")</f>
        <v/>
      </c>
    </row>
    <row r="590">
      <c r="B590">
        <f>IFERROR(VLOOKUP(A590,Grootboekschema!$A$1:$B$129,2,0), "")</f>
        <v/>
      </c>
    </row>
    <row r="591">
      <c r="B591">
        <f>IFERROR(VLOOKUP(A591,Grootboekschema!$A$1:$B$129,2,0), "")</f>
        <v/>
      </c>
    </row>
    <row r="592">
      <c r="B592">
        <f>IFERROR(VLOOKUP(A592,Grootboekschema!$A$1:$B$129,2,0), "")</f>
        <v/>
      </c>
    </row>
    <row r="593">
      <c r="B593">
        <f>IFERROR(VLOOKUP(A593,Grootboekschema!$A$1:$B$129,2,0), "")</f>
        <v/>
      </c>
    </row>
    <row r="594">
      <c r="B594">
        <f>IFERROR(VLOOKUP(A594,Grootboekschema!$A$1:$B$129,2,0), "")</f>
        <v/>
      </c>
    </row>
    <row r="595">
      <c r="B595">
        <f>IFERROR(VLOOKUP(A595,Grootboekschema!$A$1:$B$129,2,0), "")</f>
        <v/>
      </c>
    </row>
    <row r="596">
      <c r="B596">
        <f>IFERROR(VLOOKUP(A596,Grootboekschema!$A$1:$B$129,2,0), "")</f>
        <v/>
      </c>
    </row>
    <row r="597">
      <c r="B597">
        <f>IFERROR(VLOOKUP(A597,Grootboekschema!$A$1:$B$129,2,0), "")</f>
        <v/>
      </c>
    </row>
    <row r="598">
      <c r="B598">
        <f>IFERROR(VLOOKUP(A598,Grootboekschema!$A$1:$B$129,2,0), "")</f>
        <v/>
      </c>
    </row>
    <row r="599">
      <c r="B599">
        <f>IFERROR(VLOOKUP(A599,Grootboekschema!$A$1:$B$129,2,0), "")</f>
        <v/>
      </c>
    </row>
    <row r="600">
      <c r="B600">
        <f>IFERROR(VLOOKUP(A600,Grootboekschema!$A$1:$B$129,2,0), "")</f>
        <v/>
      </c>
    </row>
    <row r="601">
      <c r="B601">
        <f>IFERROR(VLOOKUP(A601,Grootboekschema!$A$1:$B$129,2,0), "")</f>
        <v/>
      </c>
    </row>
    <row r="602">
      <c r="B602">
        <f>IFERROR(VLOOKUP(A602,Grootboekschema!$A$1:$B$129,2,0), "")</f>
        <v/>
      </c>
    </row>
    <row r="603">
      <c r="B603">
        <f>IFERROR(VLOOKUP(A603,Grootboekschema!$A$1:$B$129,2,0), "")</f>
        <v/>
      </c>
    </row>
    <row r="604">
      <c r="B604">
        <f>IFERROR(VLOOKUP(A604,Grootboekschema!$A$1:$B$129,2,0), "")</f>
        <v/>
      </c>
    </row>
    <row r="605">
      <c r="B605">
        <f>IFERROR(VLOOKUP(A605,Grootboekschema!$A$1:$B$129,2,0), "")</f>
        <v/>
      </c>
    </row>
    <row r="606">
      <c r="B606">
        <f>IFERROR(VLOOKUP(A606,Grootboekschema!$A$1:$B$129,2,0), "")</f>
        <v/>
      </c>
    </row>
    <row r="607">
      <c r="B607">
        <f>IFERROR(VLOOKUP(A607,Grootboekschema!$A$1:$B$129,2,0), "")</f>
        <v/>
      </c>
    </row>
    <row r="608">
      <c r="B608">
        <f>IFERROR(VLOOKUP(A608,Grootboekschema!$A$1:$B$129,2,0), "")</f>
        <v/>
      </c>
    </row>
    <row r="609">
      <c r="B609">
        <f>IFERROR(VLOOKUP(A609,Grootboekschema!$A$1:$B$129,2,0), "")</f>
        <v/>
      </c>
    </row>
    <row r="610">
      <c r="B610">
        <f>IFERROR(VLOOKUP(A610,Grootboekschema!$A$1:$B$129,2,0), "")</f>
        <v/>
      </c>
    </row>
    <row r="611">
      <c r="B611">
        <f>IFERROR(VLOOKUP(A611,Grootboekschema!$A$1:$B$129,2,0), "")</f>
        <v/>
      </c>
    </row>
    <row r="612">
      <c r="B612">
        <f>IFERROR(VLOOKUP(A612,Grootboekschema!$A$1:$B$129,2,0), "")</f>
        <v/>
      </c>
    </row>
    <row r="613">
      <c r="B613">
        <f>IFERROR(VLOOKUP(A613,Grootboekschema!$A$1:$B$129,2,0), "")</f>
        <v/>
      </c>
    </row>
    <row r="614">
      <c r="B614">
        <f>IFERROR(VLOOKUP(A614,Grootboekschema!$A$1:$B$129,2,0), "")</f>
        <v/>
      </c>
    </row>
    <row r="615">
      <c r="B615">
        <f>IFERROR(VLOOKUP(A615,Grootboekschema!$A$1:$B$129,2,0), "")</f>
        <v/>
      </c>
    </row>
    <row r="616">
      <c r="B616">
        <f>IFERROR(VLOOKUP(A616,Grootboekschema!$A$1:$B$129,2,0), "")</f>
        <v/>
      </c>
    </row>
    <row r="617">
      <c r="B617">
        <f>IFERROR(VLOOKUP(A617,Grootboekschema!$A$1:$B$129,2,0), "")</f>
        <v/>
      </c>
    </row>
    <row r="618">
      <c r="B618">
        <f>IFERROR(VLOOKUP(A618,Grootboekschema!$A$1:$B$129,2,0), "")</f>
        <v/>
      </c>
    </row>
    <row r="619">
      <c r="B619">
        <f>IFERROR(VLOOKUP(A619,Grootboekschema!$A$1:$B$129,2,0), "")</f>
        <v/>
      </c>
    </row>
    <row r="620">
      <c r="B620">
        <f>IFERROR(VLOOKUP(A620,Grootboekschema!$A$1:$B$129,2,0), "")</f>
        <v/>
      </c>
    </row>
    <row r="621">
      <c r="B621">
        <f>IFERROR(VLOOKUP(A621,Grootboekschema!$A$1:$B$129,2,0), "")</f>
        <v/>
      </c>
    </row>
    <row r="622">
      <c r="B622">
        <f>IFERROR(VLOOKUP(A622,Grootboekschema!$A$1:$B$129,2,0), "")</f>
        <v/>
      </c>
    </row>
    <row r="623">
      <c r="B623">
        <f>IFERROR(VLOOKUP(A623,Grootboekschema!$A$1:$B$129,2,0), "")</f>
        <v/>
      </c>
    </row>
    <row r="624">
      <c r="B624">
        <f>IFERROR(VLOOKUP(A624,Grootboekschema!$A$1:$B$129,2,0), "")</f>
        <v/>
      </c>
    </row>
    <row r="625">
      <c r="B625">
        <f>IFERROR(VLOOKUP(A625,Grootboekschema!$A$1:$B$129,2,0), "")</f>
        <v/>
      </c>
    </row>
    <row r="626">
      <c r="B626">
        <f>IFERROR(VLOOKUP(A626,Grootboekschema!$A$1:$B$129,2,0), "")</f>
        <v/>
      </c>
    </row>
    <row r="627">
      <c r="B627">
        <f>IFERROR(VLOOKUP(A627,Grootboekschema!$A$1:$B$129,2,0), "")</f>
        <v/>
      </c>
    </row>
    <row r="628">
      <c r="B628">
        <f>IFERROR(VLOOKUP(A628,Grootboekschema!$A$1:$B$129,2,0), "")</f>
        <v/>
      </c>
    </row>
    <row r="629">
      <c r="B629">
        <f>IFERROR(VLOOKUP(A629,Grootboekschema!$A$1:$B$129,2,0), "")</f>
        <v/>
      </c>
    </row>
    <row r="630">
      <c r="B630">
        <f>IFERROR(VLOOKUP(A630,Grootboekschema!$A$1:$B$129,2,0), "")</f>
        <v/>
      </c>
    </row>
    <row r="631">
      <c r="B631">
        <f>IFERROR(VLOOKUP(A631,Grootboekschema!$A$1:$B$129,2,0), "")</f>
        <v/>
      </c>
    </row>
    <row r="632">
      <c r="B632">
        <f>IFERROR(VLOOKUP(A632,Grootboekschema!$A$1:$B$129,2,0), "")</f>
        <v/>
      </c>
    </row>
    <row r="633">
      <c r="B633">
        <f>IFERROR(VLOOKUP(A633,Grootboekschema!$A$1:$B$129,2,0), "")</f>
        <v/>
      </c>
    </row>
    <row r="634">
      <c r="B634">
        <f>IFERROR(VLOOKUP(A634,Grootboekschema!$A$1:$B$129,2,0), "")</f>
        <v/>
      </c>
    </row>
    <row r="635">
      <c r="B635">
        <f>IFERROR(VLOOKUP(A635,Grootboekschema!$A$1:$B$129,2,0), "")</f>
        <v/>
      </c>
    </row>
    <row r="636">
      <c r="B636">
        <f>IFERROR(VLOOKUP(A636,Grootboekschema!$A$1:$B$129,2,0), "")</f>
        <v/>
      </c>
    </row>
    <row r="637">
      <c r="B637">
        <f>IFERROR(VLOOKUP(A637,Grootboekschema!$A$1:$B$129,2,0), "")</f>
        <v/>
      </c>
    </row>
    <row r="638">
      <c r="B638">
        <f>IFERROR(VLOOKUP(A638,Grootboekschema!$A$1:$B$129,2,0), "")</f>
        <v/>
      </c>
    </row>
    <row r="639">
      <c r="B639">
        <f>IFERROR(VLOOKUP(A639,Grootboekschema!$A$1:$B$129,2,0), "")</f>
        <v/>
      </c>
    </row>
    <row r="640">
      <c r="B640">
        <f>IFERROR(VLOOKUP(A640,Grootboekschema!$A$1:$B$129,2,0), "")</f>
        <v/>
      </c>
    </row>
    <row r="641">
      <c r="B641">
        <f>IFERROR(VLOOKUP(A641,Grootboekschema!$A$1:$B$129,2,0), "")</f>
        <v/>
      </c>
    </row>
    <row r="642">
      <c r="B642">
        <f>IFERROR(VLOOKUP(A642,Grootboekschema!$A$1:$B$129,2,0), "")</f>
        <v/>
      </c>
    </row>
    <row r="643">
      <c r="B643">
        <f>IFERROR(VLOOKUP(A643,Grootboekschema!$A$1:$B$129,2,0), "")</f>
        <v/>
      </c>
    </row>
    <row r="644">
      <c r="B644">
        <f>IFERROR(VLOOKUP(A644,Grootboekschema!$A$1:$B$129,2,0), "")</f>
        <v/>
      </c>
    </row>
    <row r="645">
      <c r="B645">
        <f>IFERROR(VLOOKUP(A645,Grootboekschema!$A$1:$B$129,2,0), "")</f>
        <v/>
      </c>
    </row>
    <row r="646">
      <c r="B646">
        <f>IFERROR(VLOOKUP(A646,Grootboekschema!$A$1:$B$129,2,0), "")</f>
        <v/>
      </c>
    </row>
    <row r="647">
      <c r="B647">
        <f>IFERROR(VLOOKUP(A647,Grootboekschema!$A$1:$B$129,2,0), "")</f>
        <v/>
      </c>
    </row>
    <row r="648">
      <c r="B648">
        <f>IFERROR(VLOOKUP(A648,Grootboekschema!$A$1:$B$129,2,0), "")</f>
        <v/>
      </c>
    </row>
    <row r="649">
      <c r="B649">
        <f>IFERROR(VLOOKUP(A649,Grootboekschema!$A$1:$B$129,2,0), "")</f>
        <v/>
      </c>
    </row>
    <row r="650">
      <c r="B650">
        <f>IFERROR(VLOOKUP(A650,Grootboekschema!$A$1:$B$129,2,0), "")</f>
        <v/>
      </c>
    </row>
    <row r="651">
      <c r="B651">
        <f>IFERROR(VLOOKUP(A651,Grootboekschema!$A$1:$B$129,2,0), "")</f>
        <v/>
      </c>
    </row>
    <row r="652">
      <c r="B652">
        <f>IFERROR(VLOOKUP(A652,Grootboekschema!$A$1:$B$129,2,0), "")</f>
        <v/>
      </c>
    </row>
    <row r="653">
      <c r="B653">
        <f>IFERROR(VLOOKUP(A653,Grootboekschema!$A$1:$B$129,2,0), "")</f>
        <v/>
      </c>
    </row>
    <row r="654">
      <c r="B654">
        <f>IFERROR(VLOOKUP(A654,Grootboekschema!$A$1:$B$129,2,0), "")</f>
        <v/>
      </c>
    </row>
    <row r="655">
      <c r="B655">
        <f>IFERROR(VLOOKUP(A655,Grootboekschema!$A$1:$B$129,2,0), "")</f>
        <v/>
      </c>
    </row>
    <row r="656">
      <c r="B656">
        <f>IFERROR(VLOOKUP(A656,Grootboekschema!$A$1:$B$129,2,0), "")</f>
        <v/>
      </c>
    </row>
    <row r="657">
      <c r="B657">
        <f>IFERROR(VLOOKUP(A657,Grootboekschema!$A$1:$B$129,2,0), "")</f>
        <v/>
      </c>
    </row>
    <row r="658">
      <c r="B658">
        <f>IFERROR(VLOOKUP(A658,Grootboekschema!$A$1:$B$129,2,0), "")</f>
        <v/>
      </c>
    </row>
    <row r="659">
      <c r="B659">
        <f>IFERROR(VLOOKUP(A659,Grootboekschema!$A$1:$B$129,2,0), "")</f>
        <v/>
      </c>
    </row>
    <row r="660">
      <c r="B660">
        <f>IFERROR(VLOOKUP(A660,Grootboekschema!$A$1:$B$129,2,0), "")</f>
        <v/>
      </c>
    </row>
    <row r="661">
      <c r="B661">
        <f>IFERROR(VLOOKUP(A661,Grootboekschema!$A$1:$B$129,2,0), "")</f>
        <v/>
      </c>
    </row>
    <row r="662">
      <c r="B662">
        <f>IFERROR(VLOOKUP(A662,Grootboekschema!$A$1:$B$129,2,0), "")</f>
        <v/>
      </c>
    </row>
    <row r="663">
      <c r="B663">
        <f>IFERROR(VLOOKUP(A663,Grootboekschema!$A$1:$B$129,2,0), "")</f>
        <v/>
      </c>
    </row>
    <row r="664">
      <c r="B664">
        <f>IFERROR(VLOOKUP(A664,Grootboekschema!$A$1:$B$129,2,0), "")</f>
        <v/>
      </c>
    </row>
    <row r="665">
      <c r="B665">
        <f>IFERROR(VLOOKUP(A665,Grootboekschema!$A$1:$B$129,2,0), "")</f>
        <v/>
      </c>
    </row>
    <row r="666">
      <c r="B666">
        <f>IFERROR(VLOOKUP(A666,Grootboekschema!$A$1:$B$129,2,0), "")</f>
        <v/>
      </c>
    </row>
    <row r="667">
      <c r="B667">
        <f>IFERROR(VLOOKUP(A667,Grootboekschema!$A$1:$B$129,2,0), "")</f>
        <v/>
      </c>
    </row>
    <row r="668">
      <c r="B668">
        <f>IFERROR(VLOOKUP(A668,Grootboekschema!$A$1:$B$129,2,0), "")</f>
        <v/>
      </c>
    </row>
    <row r="669">
      <c r="B669">
        <f>IFERROR(VLOOKUP(A669,Grootboekschema!$A$1:$B$129,2,0), "")</f>
        <v/>
      </c>
    </row>
    <row r="670">
      <c r="B670">
        <f>IFERROR(VLOOKUP(A670,Grootboekschema!$A$1:$B$129,2,0), "")</f>
        <v/>
      </c>
    </row>
    <row r="671">
      <c r="B671">
        <f>IFERROR(VLOOKUP(A671,Grootboekschema!$A$1:$B$129,2,0), "")</f>
        <v/>
      </c>
    </row>
    <row r="672">
      <c r="B672">
        <f>IFERROR(VLOOKUP(A672,Grootboekschema!$A$1:$B$129,2,0), "")</f>
        <v/>
      </c>
    </row>
    <row r="673">
      <c r="B673">
        <f>IFERROR(VLOOKUP(A673,Grootboekschema!$A$1:$B$129,2,0), "")</f>
        <v/>
      </c>
    </row>
    <row r="674">
      <c r="B674">
        <f>IFERROR(VLOOKUP(A674,Grootboekschema!$A$1:$B$129,2,0), "")</f>
        <v/>
      </c>
    </row>
    <row r="675">
      <c r="B675">
        <f>IFERROR(VLOOKUP(A675,Grootboekschema!$A$1:$B$129,2,0), "")</f>
        <v/>
      </c>
    </row>
    <row r="676">
      <c r="B676">
        <f>IFERROR(VLOOKUP(A676,Grootboekschema!$A$1:$B$129,2,0), "")</f>
        <v/>
      </c>
    </row>
    <row r="677">
      <c r="B677">
        <f>IFERROR(VLOOKUP(A677,Grootboekschema!$A$1:$B$129,2,0), "")</f>
        <v/>
      </c>
    </row>
    <row r="678">
      <c r="B678">
        <f>IFERROR(VLOOKUP(A678,Grootboekschema!$A$1:$B$129,2,0), "")</f>
        <v/>
      </c>
    </row>
    <row r="679">
      <c r="B679">
        <f>IFERROR(VLOOKUP(A679,Grootboekschema!$A$1:$B$129,2,0), "")</f>
        <v/>
      </c>
    </row>
    <row r="680">
      <c r="B680">
        <f>IFERROR(VLOOKUP(A680,Grootboekschema!$A$1:$B$129,2,0), "")</f>
        <v/>
      </c>
    </row>
    <row r="681">
      <c r="B681">
        <f>IFERROR(VLOOKUP(A681,Grootboekschema!$A$1:$B$129,2,0), "")</f>
        <v/>
      </c>
    </row>
    <row r="682">
      <c r="B682">
        <f>IFERROR(VLOOKUP(A682,Grootboekschema!$A$1:$B$129,2,0), "")</f>
        <v/>
      </c>
    </row>
    <row r="683">
      <c r="B683">
        <f>IFERROR(VLOOKUP(A683,Grootboekschema!$A$1:$B$129,2,0), "")</f>
        <v/>
      </c>
    </row>
    <row r="684">
      <c r="B684">
        <f>IFERROR(VLOOKUP(A684,Grootboekschema!$A$1:$B$129,2,0), "")</f>
        <v/>
      </c>
    </row>
    <row r="685">
      <c r="B685">
        <f>IFERROR(VLOOKUP(A685,Grootboekschema!$A$1:$B$129,2,0), "")</f>
        <v/>
      </c>
    </row>
    <row r="686">
      <c r="B686">
        <f>IFERROR(VLOOKUP(A686,Grootboekschema!$A$1:$B$129,2,0), "")</f>
        <v/>
      </c>
    </row>
    <row r="687">
      <c r="B687">
        <f>IFERROR(VLOOKUP(A687,Grootboekschema!$A$1:$B$129,2,0), "")</f>
        <v/>
      </c>
    </row>
    <row r="688">
      <c r="B688">
        <f>IFERROR(VLOOKUP(A688,Grootboekschema!$A$1:$B$129,2,0), "")</f>
        <v/>
      </c>
    </row>
    <row r="689">
      <c r="B689">
        <f>IFERROR(VLOOKUP(A689,Grootboekschema!$A$1:$B$129,2,0), "")</f>
        <v/>
      </c>
    </row>
    <row r="690">
      <c r="B690">
        <f>IFERROR(VLOOKUP(A690,Grootboekschema!$A$1:$B$129,2,0), "")</f>
        <v/>
      </c>
    </row>
    <row r="691">
      <c r="B691">
        <f>IFERROR(VLOOKUP(A691,Grootboekschema!$A$1:$B$129,2,0), "")</f>
        <v/>
      </c>
    </row>
    <row r="692">
      <c r="B692">
        <f>IFERROR(VLOOKUP(A692,Grootboekschema!$A$1:$B$129,2,0), "")</f>
        <v/>
      </c>
    </row>
    <row r="693">
      <c r="B693">
        <f>IFERROR(VLOOKUP(A693,Grootboekschema!$A$1:$B$129,2,0), "")</f>
        <v/>
      </c>
    </row>
    <row r="694">
      <c r="B694">
        <f>IFERROR(VLOOKUP(A694,Grootboekschema!$A$1:$B$129,2,0), "")</f>
        <v/>
      </c>
    </row>
    <row r="695">
      <c r="B695">
        <f>IFERROR(VLOOKUP(A695,Grootboekschema!$A$1:$B$129,2,0), "")</f>
        <v/>
      </c>
    </row>
    <row r="696">
      <c r="B696">
        <f>IFERROR(VLOOKUP(A696,Grootboekschema!$A$1:$B$129,2,0), "")</f>
        <v/>
      </c>
    </row>
    <row r="697">
      <c r="B697">
        <f>IFERROR(VLOOKUP(A697,Grootboekschema!$A$1:$B$129,2,0), "")</f>
        <v/>
      </c>
    </row>
    <row r="698">
      <c r="B698">
        <f>IFERROR(VLOOKUP(A698,Grootboekschema!$A$1:$B$129,2,0), "")</f>
        <v/>
      </c>
    </row>
    <row r="699">
      <c r="B699">
        <f>IFERROR(VLOOKUP(A699,Grootboekschema!$A$1:$B$129,2,0), "")</f>
        <v/>
      </c>
    </row>
    <row r="700">
      <c r="B700">
        <f>IFERROR(VLOOKUP(A700,Grootboekschema!$A$1:$B$129,2,0), "")</f>
        <v/>
      </c>
    </row>
    <row r="701">
      <c r="B701">
        <f>IFERROR(VLOOKUP(A701,Grootboekschema!$A$1:$B$129,2,0), "")</f>
        <v/>
      </c>
    </row>
    <row r="702">
      <c r="B702">
        <f>IFERROR(VLOOKUP(A702,Grootboekschema!$A$1:$B$129,2,0), "")</f>
        <v/>
      </c>
    </row>
    <row r="703">
      <c r="B703">
        <f>IFERROR(VLOOKUP(A703,Grootboekschema!$A$1:$B$129,2,0), "")</f>
        <v/>
      </c>
    </row>
    <row r="704">
      <c r="B704">
        <f>IFERROR(VLOOKUP(A704,Grootboekschema!$A$1:$B$129,2,0), "")</f>
        <v/>
      </c>
    </row>
    <row r="705">
      <c r="B705">
        <f>IFERROR(VLOOKUP(A705,Grootboekschema!$A$1:$B$129,2,0), "")</f>
        <v/>
      </c>
    </row>
    <row r="706">
      <c r="B706">
        <f>IFERROR(VLOOKUP(A706,Grootboekschema!$A$1:$B$129,2,0), "")</f>
        <v/>
      </c>
    </row>
    <row r="707">
      <c r="B707">
        <f>IFERROR(VLOOKUP(A707,Grootboekschema!$A$1:$B$129,2,0), "")</f>
        <v/>
      </c>
    </row>
    <row r="708">
      <c r="B708">
        <f>IFERROR(VLOOKUP(A708,Grootboekschema!$A$1:$B$129,2,0), "")</f>
        <v/>
      </c>
    </row>
    <row r="709">
      <c r="B709">
        <f>IFERROR(VLOOKUP(A709,Grootboekschema!$A$1:$B$129,2,0), "")</f>
        <v/>
      </c>
    </row>
    <row r="710">
      <c r="B710">
        <f>IFERROR(VLOOKUP(A710,Grootboekschema!$A$1:$B$129,2,0), "")</f>
        <v/>
      </c>
    </row>
    <row r="711">
      <c r="B711">
        <f>IFERROR(VLOOKUP(A711,Grootboekschema!$A$1:$B$129,2,0), "")</f>
        <v/>
      </c>
    </row>
    <row r="712">
      <c r="B712">
        <f>IFERROR(VLOOKUP(A712,Grootboekschema!$A$1:$B$129,2,0), "")</f>
        <v/>
      </c>
    </row>
    <row r="713">
      <c r="B713">
        <f>IFERROR(VLOOKUP(A713,Grootboekschema!$A$1:$B$129,2,0), "")</f>
        <v/>
      </c>
    </row>
    <row r="714">
      <c r="B714">
        <f>IFERROR(VLOOKUP(A714,Grootboekschema!$A$1:$B$129,2,0), "")</f>
        <v/>
      </c>
    </row>
    <row r="715">
      <c r="B715">
        <f>IFERROR(VLOOKUP(A715,Grootboekschema!$A$1:$B$129,2,0), "")</f>
        <v/>
      </c>
    </row>
    <row r="716">
      <c r="B716">
        <f>IFERROR(VLOOKUP(A716,Grootboekschema!$A$1:$B$129,2,0), "")</f>
        <v/>
      </c>
    </row>
    <row r="717">
      <c r="B717">
        <f>IFERROR(VLOOKUP(A717,Grootboekschema!$A$1:$B$129,2,0), "")</f>
        <v/>
      </c>
    </row>
    <row r="718">
      <c r="B718">
        <f>IFERROR(VLOOKUP(A718,Grootboekschema!$A$1:$B$129,2,0), "")</f>
        <v/>
      </c>
    </row>
    <row r="719">
      <c r="B719">
        <f>IFERROR(VLOOKUP(A719,Grootboekschema!$A$1:$B$129,2,0), "")</f>
        <v/>
      </c>
    </row>
    <row r="720">
      <c r="B720">
        <f>IFERROR(VLOOKUP(A720,Grootboekschema!$A$1:$B$129,2,0), "")</f>
        <v/>
      </c>
    </row>
    <row r="721">
      <c r="B721">
        <f>IFERROR(VLOOKUP(A721,Grootboekschema!$A$1:$B$129,2,0), "")</f>
        <v/>
      </c>
    </row>
    <row r="722">
      <c r="B722">
        <f>IFERROR(VLOOKUP(A722,Grootboekschema!$A$1:$B$129,2,0), "")</f>
        <v/>
      </c>
    </row>
    <row r="723">
      <c r="B723">
        <f>IFERROR(VLOOKUP(A723,Grootboekschema!$A$1:$B$129,2,0), "")</f>
        <v/>
      </c>
    </row>
    <row r="724">
      <c r="B724">
        <f>IFERROR(VLOOKUP(A724,Grootboekschema!$A$1:$B$129,2,0), "")</f>
        <v/>
      </c>
    </row>
    <row r="725">
      <c r="B725">
        <f>IFERROR(VLOOKUP(A725,Grootboekschema!$A$1:$B$129,2,0), "")</f>
        <v/>
      </c>
    </row>
    <row r="726">
      <c r="B726">
        <f>IFERROR(VLOOKUP(A726,Grootboekschema!$A$1:$B$129,2,0), "")</f>
        <v/>
      </c>
    </row>
    <row r="727">
      <c r="B727">
        <f>IFERROR(VLOOKUP(A727,Grootboekschema!$A$1:$B$129,2,0), "")</f>
        <v/>
      </c>
    </row>
    <row r="728">
      <c r="B728">
        <f>IFERROR(VLOOKUP(A728,Grootboekschema!$A$1:$B$129,2,0), "")</f>
        <v/>
      </c>
    </row>
    <row r="729">
      <c r="B729">
        <f>IFERROR(VLOOKUP(A729,Grootboekschema!$A$1:$B$129,2,0), "")</f>
        <v/>
      </c>
    </row>
    <row r="730">
      <c r="B730">
        <f>IFERROR(VLOOKUP(A730,Grootboekschema!$A$1:$B$129,2,0), "")</f>
        <v/>
      </c>
    </row>
    <row r="731">
      <c r="B731">
        <f>IFERROR(VLOOKUP(A731,Grootboekschema!$A$1:$B$129,2,0), "")</f>
        <v/>
      </c>
    </row>
    <row r="732">
      <c r="B732">
        <f>IFERROR(VLOOKUP(A732,Grootboekschema!$A$1:$B$129,2,0), "")</f>
        <v/>
      </c>
    </row>
    <row r="733">
      <c r="B733">
        <f>IFERROR(VLOOKUP(A733,Grootboekschema!$A$1:$B$129,2,0), "")</f>
        <v/>
      </c>
    </row>
    <row r="734">
      <c r="B734">
        <f>IFERROR(VLOOKUP(A734,Grootboekschema!$A$1:$B$129,2,0), "")</f>
        <v/>
      </c>
    </row>
    <row r="735">
      <c r="B735">
        <f>IFERROR(VLOOKUP(A735,Grootboekschema!$A$1:$B$129,2,0), "")</f>
        <v/>
      </c>
    </row>
    <row r="736">
      <c r="B736">
        <f>IFERROR(VLOOKUP(A736,Grootboekschema!$A$1:$B$129,2,0), "")</f>
        <v/>
      </c>
    </row>
    <row r="737">
      <c r="B737">
        <f>IFERROR(VLOOKUP(A737,Grootboekschema!$A$1:$B$129,2,0), "")</f>
        <v/>
      </c>
    </row>
    <row r="738">
      <c r="B738">
        <f>IFERROR(VLOOKUP(A738,Grootboekschema!$A$1:$B$129,2,0), "")</f>
        <v/>
      </c>
    </row>
    <row r="739">
      <c r="B739">
        <f>IFERROR(VLOOKUP(A739,Grootboekschema!$A$1:$B$129,2,0), "")</f>
        <v/>
      </c>
    </row>
    <row r="740">
      <c r="B740">
        <f>IFERROR(VLOOKUP(A740,Grootboekschema!$A$1:$B$129,2,0), "")</f>
        <v/>
      </c>
    </row>
    <row r="741">
      <c r="B741">
        <f>IFERROR(VLOOKUP(A741,Grootboekschema!$A$1:$B$129,2,0), "")</f>
        <v/>
      </c>
    </row>
    <row r="742">
      <c r="B742">
        <f>IFERROR(VLOOKUP(A742,Grootboekschema!$A$1:$B$129,2,0), "")</f>
        <v/>
      </c>
    </row>
    <row r="743">
      <c r="B743">
        <f>IFERROR(VLOOKUP(A743,Grootboekschema!$A$1:$B$129,2,0), "")</f>
        <v/>
      </c>
    </row>
    <row r="744">
      <c r="B744">
        <f>IFERROR(VLOOKUP(A744,Grootboekschema!$A$1:$B$129,2,0), "")</f>
        <v/>
      </c>
    </row>
    <row r="745">
      <c r="B745">
        <f>IFERROR(VLOOKUP(A745,Grootboekschema!$A$1:$B$129,2,0), "")</f>
        <v/>
      </c>
    </row>
    <row r="746">
      <c r="B746">
        <f>IFERROR(VLOOKUP(A746,Grootboekschema!$A$1:$B$129,2,0), "")</f>
        <v/>
      </c>
    </row>
    <row r="747">
      <c r="B747">
        <f>IFERROR(VLOOKUP(A747,Grootboekschema!$A$1:$B$129,2,0), "")</f>
        <v/>
      </c>
    </row>
    <row r="748">
      <c r="B748">
        <f>IFERROR(VLOOKUP(A748,Grootboekschema!$A$1:$B$129,2,0), "")</f>
        <v/>
      </c>
    </row>
    <row r="749">
      <c r="B749">
        <f>IFERROR(VLOOKUP(A749,Grootboekschema!$A$1:$B$129,2,0), "")</f>
        <v/>
      </c>
    </row>
    <row r="750">
      <c r="B750">
        <f>IFERROR(VLOOKUP(A750,Grootboekschema!$A$1:$B$129,2,0), "")</f>
        <v/>
      </c>
    </row>
    <row r="751">
      <c r="B751">
        <f>IFERROR(VLOOKUP(A751,Grootboekschema!$A$1:$B$129,2,0), "")</f>
        <v/>
      </c>
    </row>
    <row r="752">
      <c r="B752">
        <f>IFERROR(VLOOKUP(A752,Grootboekschema!$A$1:$B$129,2,0), "")</f>
        <v/>
      </c>
    </row>
    <row r="753">
      <c r="B753">
        <f>IFERROR(VLOOKUP(A753,Grootboekschema!$A$1:$B$129,2,0), "")</f>
        <v/>
      </c>
    </row>
    <row r="754">
      <c r="B754">
        <f>IFERROR(VLOOKUP(A754,Grootboekschema!$A$1:$B$129,2,0), "")</f>
        <v/>
      </c>
    </row>
    <row r="755">
      <c r="B755">
        <f>IFERROR(VLOOKUP(A755,Grootboekschema!$A$1:$B$129,2,0), "")</f>
        <v/>
      </c>
    </row>
    <row r="756">
      <c r="B756">
        <f>IFERROR(VLOOKUP(A756,Grootboekschema!$A$1:$B$129,2,0), "")</f>
        <v/>
      </c>
    </row>
    <row r="757">
      <c r="B757">
        <f>IFERROR(VLOOKUP(A757,Grootboekschema!$A$1:$B$129,2,0), "")</f>
        <v/>
      </c>
    </row>
    <row r="758">
      <c r="B758">
        <f>IFERROR(VLOOKUP(A758,Grootboekschema!$A$1:$B$129,2,0), "")</f>
        <v/>
      </c>
    </row>
    <row r="759">
      <c r="B759">
        <f>IFERROR(VLOOKUP(A759,Grootboekschema!$A$1:$B$129,2,0), "")</f>
        <v/>
      </c>
    </row>
    <row r="760">
      <c r="B760">
        <f>IFERROR(VLOOKUP(A760,Grootboekschema!$A$1:$B$129,2,0), "")</f>
        <v/>
      </c>
    </row>
    <row r="761">
      <c r="B761">
        <f>IFERROR(VLOOKUP(A761,Grootboekschema!$A$1:$B$129,2,0), "")</f>
        <v/>
      </c>
    </row>
    <row r="762">
      <c r="B762">
        <f>IFERROR(VLOOKUP(A762,Grootboekschema!$A$1:$B$129,2,0), "")</f>
        <v/>
      </c>
    </row>
    <row r="763">
      <c r="B763">
        <f>IFERROR(VLOOKUP(A763,Grootboekschema!$A$1:$B$129,2,0), "")</f>
        <v/>
      </c>
    </row>
    <row r="764">
      <c r="B764">
        <f>IFERROR(VLOOKUP(A764,Grootboekschema!$A$1:$B$129,2,0), "")</f>
        <v/>
      </c>
    </row>
    <row r="765">
      <c r="B765">
        <f>IFERROR(VLOOKUP(A765,Grootboekschema!$A$1:$B$129,2,0), "")</f>
        <v/>
      </c>
    </row>
    <row r="766">
      <c r="B766">
        <f>IFERROR(VLOOKUP(A766,Grootboekschema!$A$1:$B$129,2,0), "")</f>
        <v/>
      </c>
    </row>
    <row r="767">
      <c r="B767">
        <f>IFERROR(VLOOKUP(A767,Grootboekschema!$A$1:$B$129,2,0), "")</f>
        <v/>
      </c>
    </row>
    <row r="768">
      <c r="B768">
        <f>IFERROR(VLOOKUP(A768,Grootboekschema!$A$1:$B$129,2,0), "")</f>
        <v/>
      </c>
    </row>
    <row r="769">
      <c r="B769">
        <f>IFERROR(VLOOKUP(A769,Grootboekschema!$A$1:$B$129,2,0), "")</f>
        <v/>
      </c>
    </row>
    <row r="770">
      <c r="B770">
        <f>IFERROR(VLOOKUP(A770,Grootboekschema!$A$1:$B$129,2,0), "")</f>
        <v/>
      </c>
    </row>
    <row r="771">
      <c r="B771">
        <f>IFERROR(VLOOKUP(A771,Grootboekschema!$A$1:$B$129,2,0), "")</f>
        <v/>
      </c>
    </row>
    <row r="772">
      <c r="B772">
        <f>IFERROR(VLOOKUP(A772,Grootboekschema!$A$1:$B$129,2,0), "")</f>
        <v/>
      </c>
    </row>
    <row r="773">
      <c r="B773">
        <f>IFERROR(VLOOKUP(A773,Grootboekschema!$A$1:$B$129,2,0), "")</f>
        <v/>
      </c>
    </row>
    <row r="774">
      <c r="B774">
        <f>IFERROR(VLOOKUP(A774,Grootboekschema!$A$1:$B$129,2,0), "")</f>
        <v/>
      </c>
    </row>
    <row r="775">
      <c r="B775">
        <f>IFERROR(VLOOKUP(A775,Grootboekschema!$A$1:$B$129,2,0), "")</f>
        <v/>
      </c>
    </row>
    <row r="776">
      <c r="B776">
        <f>IFERROR(VLOOKUP(A776,Grootboekschema!$A$1:$B$129,2,0), "")</f>
        <v/>
      </c>
    </row>
    <row r="777">
      <c r="B777">
        <f>IFERROR(VLOOKUP(A777,Grootboekschema!$A$1:$B$129,2,0), "")</f>
        <v/>
      </c>
    </row>
    <row r="778">
      <c r="B778">
        <f>IFERROR(VLOOKUP(A778,Grootboekschema!$A$1:$B$129,2,0), "")</f>
        <v/>
      </c>
    </row>
    <row r="779">
      <c r="B779">
        <f>IFERROR(VLOOKUP(A779,Grootboekschema!$A$1:$B$129,2,0), "")</f>
        <v/>
      </c>
    </row>
    <row r="780">
      <c r="B780">
        <f>IFERROR(VLOOKUP(A780,Grootboekschema!$A$1:$B$129,2,0), "")</f>
        <v/>
      </c>
    </row>
    <row r="781">
      <c r="B781">
        <f>IFERROR(VLOOKUP(A781,Grootboekschema!$A$1:$B$129,2,0), "")</f>
        <v/>
      </c>
    </row>
    <row r="782">
      <c r="B782">
        <f>IFERROR(VLOOKUP(A782,Grootboekschema!$A$1:$B$129,2,0), "")</f>
        <v/>
      </c>
    </row>
    <row r="783">
      <c r="B783">
        <f>IFERROR(VLOOKUP(A783,Grootboekschema!$A$1:$B$129,2,0), "")</f>
        <v/>
      </c>
    </row>
    <row r="784">
      <c r="B784">
        <f>IFERROR(VLOOKUP(A784,Grootboekschema!$A$1:$B$129,2,0), "")</f>
        <v/>
      </c>
    </row>
    <row r="785">
      <c r="B785">
        <f>IFERROR(VLOOKUP(A785,Grootboekschema!$A$1:$B$129,2,0), "")</f>
        <v/>
      </c>
    </row>
    <row r="786">
      <c r="B786">
        <f>IFERROR(VLOOKUP(A786,Grootboekschema!$A$1:$B$129,2,0), "")</f>
        <v/>
      </c>
    </row>
    <row r="787">
      <c r="B787">
        <f>IFERROR(VLOOKUP(A787,Grootboekschema!$A$1:$B$129,2,0), "")</f>
        <v/>
      </c>
    </row>
    <row r="788">
      <c r="B788">
        <f>IFERROR(VLOOKUP(A788,Grootboekschema!$A$1:$B$129,2,0), "")</f>
        <v/>
      </c>
    </row>
    <row r="789">
      <c r="B789">
        <f>IFERROR(VLOOKUP(A789,Grootboekschema!$A$1:$B$129,2,0), "")</f>
        <v/>
      </c>
    </row>
    <row r="790">
      <c r="B790">
        <f>IFERROR(VLOOKUP(A790,Grootboekschema!$A$1:$B$129,2,0), "")</f>
        <v/>
      </c>
    </row>
    <row r="791">
      <c r="B791">
        <f>IFERROR(VLOOKUP(A791,Grootboekschema!$A$1:$B$129,2,0), "")</f>
        <v/>
      </c>
    </row>
    <row r="792">
      <c r="B792">
        <f>IFERROR(VLOOKUP(A792,Grootboekschema!$A$1:$B$129,2,0), "")</f>
        <v/>
      </c>
    </row>
    <row r="793">
      <c r="B793">
        <f>IFERROR(VLOOKUP(A793,Grootboekschema!$A$1:$B$129,2,0), "")</f>
        <v/>
      </c>
    </row>
    <row r="794">
      <c r="B794">
        <f>IFERROR(VLOOKUP(A794,Grootboekschema!$A$1:$B$129,2,0), "")</f>
        <v/>
      </c>
    </row>
    <row r="795">
      <c r="B795">
        <f>IFERROR(VLOOKUP(A795,Grootboekschema!$A$1:$B$129,2,0), "")</f>
        <v/>
      </c>
    </row>
    <row r="796">
      <c r="B796">
        <f>IFERROR(VLOOKUP(A796,Grootboekschema!$A$1:$B$129,2,0), "")</f>
        <v/>
      </c>
    </row>
    <row r="797">
      <c r="B797">
        <f>IFERROR(VLOOKUP(A797,Grootboekschema!$A$1:$B$129,2,0), "")</f>
        <v/>
      </c>
    </row>
    <row r="798">
      <c r="B798">
        <f>IFERROR(VLOOKUP(A798,Grootboekschema!$A$1:$B$129,2,0), "")</f>
        <v/>
      </c>
    </row>
    <row r="799">
      <c r="B799">
        <f>IFERROR(VLOOKUP(A799,Grootboekschema!$A$1:$B$129,2,0), "")</f>
        <v/>
      </c>
    </row>
    <row r="800">
      <c r="B800">
        <f>IFERROR(VLOOKUP(A800,Grootboekschema!$A$1:$B$129,2,0), "")</f>
        <v/>
      </c>
    </row>
    <row r="801">
      <c r="B801">
        <f>IFERROR(VLOOKUP(A801,Grootboekschema!$A$1:$B$129,2,0), "")</f>
        <v/>
      </c>
    </row>
    <row r="802">
      <c r="B802">
        <f>IFERROR(VLOOKUP(A802,Grootboekschema!$A$1:$B$129,2,0), "")</f>
        <v/>
      </c>
    </row>
    <row r="803">
      <c r="B803">
        <f>IFERROR(VLOOKUP(A803,Grootboekschema!$A$1:$B$129,2,0), "")</f>
        <v/>
      </c>
    </row>
    <row r="804">
      <c r="B804">
        <f>IFERROR(VLOOKUP(A804,Grootboekschema!$A$1:$B$129,2,0), "")</f>
        <v/>
      </c>
    </row>
    <row r="805">
      <c r="B805">
        <f>IFERROR(VLOOKUP(A805,Grootboekschema!$A$1:$B$129,2,0), "")</f>
        <v/>
      </c>
    </row>
    <row r="806">
      <c r="B806">
        <f>IFERROR(VLOOKUP(A806,Grootboekschema!$A$1:$B$129,2,0), "")</f>
        <v/>
      </c>
    </row>
    <row r="807">
      <c r="B807">
        <f>IFERROR(VLOOKUP(A807,Grootboekschema!$A$1:$B$129,2,0), "")</f>
        <v/>
      </c>
    </row>
    <row r="808">
      <c r="B808">
        <f>IFERROR(VLOOKUP(A808,Grootboekschema!$A$1:$B$129,2,0), "")</f>
        <v/>
      </c>
    </row>
    <row r="809">
      <c r="B809">
        <f>IFERROR(VLOOKUP(A809,Grootboekschema!$A$1:$B$129,2,0), "")</f>
        <v/>
      </c>
    </row>
    <row r="810">
      <c r="B810">
        <f>IFERROR(VLOOKUP(A810,Grootboekschema!$A$1:$B$129,2,0), "")</f>
        <v/>
      </c>
    </row>
    <row r="811">
      <c r="B811">
        <f>IFERROR(VLOOKUP(A811,Grootboekschema!$A$1:$B$129,2,0), "")</f>
        <v/>
      </c>
    </row>
    <row r="812">
      <c r="B812">
        <f>IFERROR(VLOOKUP(A812,Grootboekschema!$A$1:$B$129,2,0), "")</f>
        <v/>
      </c>
    </row>
    <row r="813">
      <c r="B813">
        <f>IFERROR(VLOOKUP(A813,Grootboekschema!$A$1:$B$129,2,0), "")</f>
        <v/>
      </c>
    </row>
    <row r="814">
      <c r="B814">
        <f>IFERROR(VLOOKUP(A814,Grootboekschema!$A$1:$B$129,2,0), "")</f>
        <v/>
      </c>
    </row>
    <row r="815">
      <c r="B815">
        <f>IFERROR(VLOOKUP(A815,Grootboekschema!$A$1:$B$129,2,0), "")</f>
        <v/>
      </c>
    </row>
    <row r="816">
      <c r="B816">
        <f>IFERROR(VLOOKUP(A816,Grootboekschema!$A$1:$B$129,2,0), "")</f>
        <v/>
      </c>
    </row>
    <row r="817">
      <c r="B817">
        <f>IFERROR(VLOOKUP(A817,Grootboekschema!$A$1:$B$129,2,0), "")</f>
        <v/>
      </c>
    </row>
    <row r="818">
      <c r="B818">
        <f>IFERROR(VLOOKUP(A818,Grootboekschema!$A$1:$B$129,2,0), "")</f>
        <v/>
      </c>
    </row>
    <row r="819">
      <c r="B819">
        <f>IFERROR(VLOOKUP(A819,Grootboekschema!$A$1:$B$129,2,0), "")</f>
        <v/>
      </c>
    </row>
    <row r="820">
      <c r="B820">
        <f>IFERROR(VLOOKUP(A820,Grootboekschema!$A$1:$B$129,2,0), "")</f>
        <v/>
      </c>
    </row>
    <row r="821">
      <c r="B821">
        <f>IFERROR(VLOOKUP(A821,Grootboekschema!$A$1:$B$129,2,0), "")</f>
        <v/>
      </c>
    </row>
    <row r="822">
      <c r="B822">
        <f>IFERROR(VLOOKUP(A822,Grootboekschema!$A$1:$B$129,2,0), "")</f>
        <v/>
      </c>
    </row>
    <row r="823">
      <c r="B823">
        <f>IFERROR(VLOOKUP(A823,Grootboekschema!$A$1:$B$129,2,0), "")</f>
        <v/>
      </c>
    </row>
    <row r="824">
      <c r="B824">
        <f>IFERROR(VLOOKUP(A824,Grootboekschema!$A$1:$B$129,2,0), "")</f>
        <v/>
      </c>
    </row>
    <row r="825">
      <c r="B825">
        <f>IFERROR(VLOOKUP(A825,Grootboekschema!$A$1:$B$129,2,0), "")</f>
        <v/>
      </c>
    </row>
    <row r="826">
      <c r="B826">
        <f>IFERROR(VLOOKUP(A826,Grootboekschema!$A$1:$B$129,2,0), "")</f>
        <v/>
      </c>
    </row>
    <row r="827">
      <c r="B827">
        <f>IFERROR(VLOOKUP(A827,Grootboekschema!$A$1:$B$129,2,0), "")</f>
        <v/>
      </c>
    </row>
    <row r="828">
      <c r="B828">
        <f>IFERROR(VLOOKUP(A828,Grootboekschema!$A$1:$B$129,2,0), "")</f>
        <v/>
      </c>
    </row>
    <row r="829">
      <c r="B829">
        <f>IFERROR(VLOOKUP(A829,Grootboekschema!$A$1:$B$129,2,0), "")</f>
        <v/>
      </c>
    </row>
    <row r="830">
      <c r="B830">
        <f>IFERROR(VLOOKUP(A830,Grootboekschema!$A$1:$B$129,2,0), "")</f>
        <v/>
      </c>
    </row>
    <row r="831">
      <c r="B831">
        <f>IFERROR(VLOOKUP(A831,Grootboekschema!$A$1:$B$129,2,0), "")</f>
        <v/>
      </c>
    </row>
    <row r="832">
      <c r="B832">
        <f>IFERROR(VLOOKUP(A832,Grootboekschema!$A$1:$B$129,2,0), "")</f>
        <v/>
      </c>
    </row>
    <row r="833">
      <c r="B833">
        <f>IFERROR(VLOOKUP(A833,Grootboekschema!$A$1:$B$129,2,0), "")</f>
        <v/>
      </c>
    </row>
    <row r="834">
      <c r="B834">
        <f>IFERROR(VLOOKUP(A834,Grootboekschema!$A$1:$B$129,2,0), "")</f>
        <v/>
      </c>
    </row>
    <row r="835">
      <c r="B835">
        <f>IFERROR(VLOOKUP(A835,Grootboekschema!$A$1:$B$129,2,0), "")</f>
        <v/>
      </c>
    </row>
    <row r="836">
      <c r="B836">
        <f>IFERROR(VLOOKUP(A836,Grootboekschema!$A$1:$B$129,2,0), "")</f>
        <v/>
      </c>
    </row>
    <row r="837">
      <c r="B837">
        <f>IFERROR(VLOOKUP(A837,Grootboekschema!$A$1:$B$129,2,0), "")</f>
        <v/>
      </c>
    </row>
    <row r="838">
      <c r="B838">
        <f>IFERROR(VLOOKUP(A838,Grootboekschema!$A$1:$B$129,2,0), "")</f>
        <v/>
      </c>
    </row>
    <row r="839">
      <c r="B839">
        <f>IFERROR(VLOOKUP(A839,Grootboekschema!$A$1:$B$129,2,0), "")</f>
        <v/>
      </c>
    </row>
    <row r="840">
      <c r="B840">
        <f>IFERROR(VLOOKUP(A840,Grootboekschema!$A$1:$B$129,2,0), "")</f>
        <v/>
      </c>
    </row>
    <row r="841">
      <c r="B841">
        <f>IFERROR(VLOOKUP(A841,Grootboekschema!$A$1:$B$129,2,0), "")</f>
        <v/>
      </c>
    </row>
    <row r="842">
      <c r="B842">
        <f>IFERROR(VLOOKUP(A842,Grootboekschema!$A$1:$B$129,2,0), "")</f>
        <v/>
      </c>
    </row>
    <row r="843">
      <c r="B843">
        <f>IFERROR(VLOOKUP(A843,Grootboekschema!$A$1:$B$129,2,0), "")</f>
        <v/>
      </c>
    </row>
    <row r="844">
      <c r="B844">
        <f>IFERROR(VLOOKUP(A844,Grootboekschema!$A$1:$B$129,2,0), "")</f>
        <v/>
      </c>
    </row>
    <row r="845">
      <c r="B845">
        <f>IFERROR(VLOOKUP(A845,Grootboekschema!$A$1:$B$129,2,0), "")</f>
        <v/>
      </c>
    </row>
    <row r="846">
      <c r="B846">
        <f>IFERROR(VLOOKUP(A846,Grootboekschema!$A$1:$B$129,2,0), "")</f>
        <v/>
      </c>
    </row>
    <row r="847">
      <c r="B847">
        <f>IFERROR(VLOOKUP(A847,Grootboekschema!$A$1:$B$129,2,0), "")</f>
        <v/>
      </c>
    </row>
    <row r="848">
      <c r="B848">
        <f>IFERROR(VLOOKUP(A848,Grootboekschema!$A$1:$B$129,2,0), "")</f>
        <v/>
      </c>
    </row>
    <row r="849">
      <c r="B849">
        <f>IFERROR(VLOOKUP(A849,Grootboekschema!$A$1:$B$129,2,0), "")</f>
        <v/>
      </c>
    </row>
    <row r="850">
      <c r="B850">
        <f>IFERROR(VLOOKUP(A850,Grootboekschema!$A$1:$B$129,2,0), "")</f>
        <v/>
      </c>
    </row>
    <row r="851">
      <c r="B851">
        <f>IFERROR(VLOOKUP(A851,Grootboekschema!$A$1:$B$129,2,0), "")</f>
        <v/>
      </c>
    </row>
    <row r="852">
      <c r="B852">
        <f>IFERROR(VLOOKUP(A852,Grootboekschema!$A$1:$B$129,2,0), "")</f>
        <v/>
      </c>
    </row>
    <row r="853">
      <c r="B853">
        <f>IFERROR(VLOOKUP(A853,Grootboekschema!$A$1:$B$129,2,0), "")</f>
        <v/>
      </c>
    </row>
    <row r="854">
      <c r="B854">
        <f>IFERROR(VLOOKUP(A854,Grootboekschema!$A$1:$B$129,2,0), "")</f>
        <v/>
      </c>
    </row>
    <row r="855">
      <c r="B855">
        <f>IFERROR(VLOOKUP(A855,Grootboekschema!$A$1:$B$129,2,0), "")</f>
        <v/>
      </c>
    </row>
    <row r="856">
      <c r="B856">
        <f>IFERROR(VLOOKUP(A856,Grootboekschema!$A$1:$B$129,2,0), "")</f>
        <v/>
      </c>
    </row>
    <row r="857">
      <c r="B857">
        <f>IFERROR(VLOOKUP(A857,Grootboekschema!$A$1:$B$129,2,0), "")</f>
        <v/>
      </c>
    </row>
    <row r="858">
      <c r="B858">
        <f>IFERROR(VLOOKUP(A858,Grootboekschema!$A$1:$B$129,2,0), "")</f>
        <v/>
      </c>
    </row>
    <row r="859">
      <c r="B859">
        <f>IFERROR(VLOOKUP(A859,Grootboekschema!$A$1:$B$129,2,0), "")</f>
        <v/>
      </c>
    </row>
    <row r="860">
      <c r="B860">
        <f>IFERROR(VLOOKUP(A860,Grootboekschema!$A$1:$B$129,2,0), "")</f>
        <v/>
      </c>
    </row>
    <row r="861">
      <c r="B861">
        <f>IFERROR(VLOOKUP(A861,Grootboekschema!$A$1:$B$129,2,0), "")</f>
        <v/>
      </c>
    </row>
    <row r="862">
      <c r="B862">
        <f>IFERROR(VLOOKUP(A862,Grootboekschema!$A$1:$B$129,2,0), "")</f>
        <v/>
      </c>
    </row>
    <row r="863">
      <c r="B863">
        <f>IFERROR(VLOOKUP(A863,Grootboekschema!$A$1:$B$129,2,0), "")</f>
        <v/>
      </c>
    </row>
    <row r="864">
      <c r="B864">
        <f>IFERROR(VLOOKUP(A864,Grootboekschema!$A$1:$B$129,2,0), "")</f>
        <v/>
      </c>
    </row>
    <row r="865">
      <c r="B865">
        <f>IFERROR(VLOOKUP(A865,Grootboekschema!$A$1:$B$129,2,0), "")</f>
        <v/>
      </c>
    </row>
    <row r="866">
      <c r="B866">
        <f>IFERROR(VLOOKUP(A866,Grootboekschema!$A$1:$B$129,2,0), "")</f>
        <v/>
      </c>
    </row>
    <row r="867">
      <c r="B867">
        <f>IFERROR(VLOOKUP(A867,Grootboekschema!$A$1:$B$129,2,0), "")</f>
        <v/>
      </c>
    </row>
    <row r="868">
      <c r="B868">
        <f>IFERROR(VLOOKUP(A868,Grootboekschema!$A$1:$B$129,2,0), "")</f>
        <v/>
      </c>
    </row>
    <row r="869">
      <c r="B869">
        <f>IFERROR(VLOOKUP(A869,Grootboekschema!$A$1:$B$129,2,0), "")</f>
        <v/>
      </c>
    </row>
    <row r="870">
      <c r="B870">
        <f>IFERROR(VLOOKUP(A870,Grootboekschema!$A$1:$B$129,2,0), "")</f>
        <v/>
      </c>
    </row>
    <row r="871">
      <c r="B871">
        <f>IFERROR(VLOOKUP(A871,Grootboekschema!$A$1:$B$129,2,0), "")</f>
        <v/>
      </c>
    </row>
    <row r="872">
      <c r="B872">
        <f>IFERROR(VLOOKUP(A872,Grootboekschema!$A$1:$B$129,2,0), "")</f>
        <v/>
      </c>
    </row>
    <row r="873">
      <c r="B873">
        <f>IFERROR(VLOOKUP(A873,Grootboekschema!$A$1:$B$129,2,0), "")</f>
        <v/>
      </c>
    </row>
    <row r="874">
      <c r="B874">
        <f>IFERROR(VLOOKUP(A874,Grootboekschema!$A$1:$B$129,2,0), "")</f>
        <v/>
      </c>
    </row>
    <row r="875">
      <c r="B875">
        <f>IFERROR(VLOOKUP(A875,Grootboekschema!$A$1:$B$129,2,0), "")</f>
        <v/>
      </c>
    </row>
    <row r="876">
      <c r="B876">
        <f>IFERROR(VLOOKUP(A876,Grootboekschema!$A$1:$B$129,2,0), "")</f>
        <v/>
      </c>
    </row>
    <row r="877">
      <c r="B877">
        <f>IFERROR(VLOOKUP(A877,Grootboekschema!$A$1:$B$129,2,0), "")</f>
        <v/>
      </c>
    </row>
    <row r="878">
      <c r="B878">
        <f>IFERROR(VLOOKUP(A878,Grootboekschema!$A$1:$B$129,2,0), "")</f>
        <v/>
      </c>
    </row>
    <row r="879">
      <c r="B879">
        <f>IFERROR(VLOOKUP(A879,Grootboekschema!$A$1:$B$129,2,0), "")</f>
        <v/>
      </c>
    </row>
    <row r="880">
      <c r="B880">
        <f>IFERROR(VLOOKUP(A880,Grootboekschema!$A$1:$B$129,2,0), "")</f>
        <v/>
      </c>
    </row>
    <row r="881">
      <c r="B881">
        <f>IFERROR(VLOOKUP(A881,Grootboekschema!$A$1:$B$129,2,0), "")</f>
        <v/>
      </c>
    </row>
    <row r="882">
      <c r="B882">
        <f>IFERROR(VLOOKUP(A882,Grootboekschema!$A$1:$B$129,2,0), "")</f>
        <v/>
      </c>
    </row>
    <row r="883">
      <c r="B883">
        <f>IFERROR(VLOOKUP(A883,Grootboekschema!$A$1:$B$129,2,0), "")</f>
        <v/>
      </c>
    </row>
    <row r="884">
      <c r="B884">
        <f>IFERROR(VLOOKUP(A884,Grootboekschema!$A$1:$B$129,2,0), "")</f>
        <v/>
      </c>
    </row>
    <row r="885">
      <c r="B885">
        <f>IFERROR(VLOOKUP(A885,Grootboekschema!$A$1:$B$129,2,0), "")</f>
        <v/>
      </c>
    </row>
    <row r="886">
      <c r="B886">
        <f>IFERROR(VLOOKUP(A886,Grootboekschema!$A$1:$B$129,2,0), "")</f>
        <v/>
      </c>
    </row>
    <row r="887">
      <c r="B887">
        <f>IFERROR(VLOOKUP(A887,Grootboekschema!$A$1:$B$129,2,0), "")</f>
        <v/>
      </c>
    </row>
    <row r="888">
      <c r="B888">
        <f>IFERROR(VLOOKUP(A888,Grootboekschema!$A$1:$B$129,2,0), "")</f>
        <v/>
      </c>
    </row>
    <row r="889">
      <c r="B889">
        <f>IFERROR(VLOOKUP(A889,Grootboekschema!$A$1:$B$129,2,0), "")</f>
        <v/>
      </c>
    </row>
    <row r="890">
      <c r="B890">
        <f>IFERROR(VLOOKUP(A890,Grootboekschema!$A$1:$B$129,2,0), "")</f>
        <v/>
      </c>
    </row>
    <row r="891">
      <c r="B891">
        <f>IFERROR(VLOOKUP(A891,Grootboekschema!$A$1:$B$129,2,0), "")</f>
        <v/>
      </c>
    </row>
    <row r="892">
      <c r="B892">
        <f>IFERROR(VLOOKUP(A892,Grootboekschema!$A$1:$B$129,2,0), "")</f>
        <v/>
      </c>
    </row>
    <row r="893">
      <c r="B893">
        <f>IFERROR(VLOOKUP(A893,Grootboekschema!$A$1:$B$129,2,0), "")</f>
        <v/>
      </c>
    </row>
    <row r="894">
      <c r="B894">
        <f>IFERROR(VLOOKUP(A894,Grootboekschema!$A$1:$B$129,2,0), "")</f>
        <v/>
      </c>
    </row>
    <row r="895">
      <c r="B895">
        <f>IFERROR(VLOOKUP(A895,Grootboekschema!$A$1:$B$129,2,0), "")</f>
        <v/>
      </c>
    </row>
    <row r="896">
      <c r="B896">
        <f>IFERROR(VLOOKUP(A896,Grootboekschema!$A$1:$B$129,2,0), "")</f>
        <v/>
      </c>
    </row>
    <row r="897">
      <c r="B897">
        <f>IFERROR(VLOOKUP(A897,Grootboekschema!$A$1:$B$129,2,0), "")</f>
        <v/>
      </c>
    </row>
    <row r="898">
      <c r="B898">
        <f>IFERROR(VLOOKUP(A898,Grootboekschema!$A$1:$B$129,2,0), "")</f>
        <v/>
      </c>
    </row>
    <row r="899">
      <c r="B899">
        <f>IFERROR(VLOOKUP(A899,Grootboekschema!$A$1:$B$129,2,0), "")</f>
        <v/>
      </c>
    </row>
    <row r="900">
      <c r="B900">
        <f>IFERROR(VLOOKUP(A900,Grootboekschema!$A$1:$B$129,2,0), "")</f>
        <v/>
      </c>
    </row>
    <row r="901">
      <c r="B901">
        <f>IFERROR(VLOOKUP(A901,Grootboekschema!$A$1:$B$129,2,0), "")</f>
        <v/>
      </c>
    </row>
    <row r="902">
      <c r="B902">
        <f>IFERROR(VLOOKUP(A902,Grootboekschema!$A$1:$B$129,2,0), "")</f>
        <v/>
      </c>
    </row>
    <row r="903">
      <c r="B903">
        <f>IFERROR(VLOOKUP(A903,Grootboekschema!$A$1:$B$129,2,0), "")</f>
        <v/>
      </c>
    </row>
    <row r="904">
      <c r="B904">
        <f>IFERROR(VLOOKUP(A904,Grootboekschema!$A$1:$B$129,2,0), "")</f>
        <v/>
      </c>
    </row>
    <row r="905">
      <c r="B905">
        <f>IFERROR(VLOOKUP(A905,Grootboekschema!$A$1:$B$129,2,0), "")</f>
        <v/>
      </c>
    </row>
    <row r="906">
      <c r="B906">
        <f>IFERROR(VLOOKUP(A906,Grootboekschema!$A$1:$B$129,2,0), "")</f>
        <v/>
      </c>
    </row>
    <row r="907">
      <c r="B907">
        <f>IFERROR(VLOOKUP(A907,Grootboekschema!$A$1:$B$129,2,0), "")</f>
        <v/>
      </c>
    </row>
    <row r="908">
      <c r="B908">
        <f>IFERROR(VLOOKUP(A908,Grootboekschema!$A$1:$B$129,2,0), "")</f>
        <v/>
      </c>
    </row>
    <row r="909">
      <c r="B909">
        <f>IFERROR(VLOOKUP(A909,Grootboekschema!$A$1:$B$129,2,0), "")</f>
        <v/>
      </c>
    </row>
    <row r="910">
      <c r="B910">
        <f>IFERROR(VLOOKUP(A910,Grootboekschema!$A$1:$B$129,2,0), "")</f>
        <v/>
      </c>
    </row>
    <row r="911">
      <c r="B911">
        <f>IFERROR(VLOOKUP(A911,Grootboekschema!$A$1:$B$129,2,0), "")</f>
        <v/>
      </c>
    </row>
    <row r="912">
      <c r="B912">
        <f>IFERROR(VLOOKUP(A912,Grootboekschema!$A$1:$B$129,2,0), "")</f>
        <v/>
      </c>
    </row>
    <row r="913">
      <c r="B913">
        <f>IFERROR(VLOOKUP(A913,Grootboekschema!$A$1:$B$129,2,0), "")</f>
        <v/>
      </c>
    </row>
    <row r="914">
      <c r="B914">
        <f>IFERROR(VLOOKUP(A914,Grootboekschema!$A$1:$B$129,2,0), "")</f>
        <v/>
      </c>
    </row>
    <row r="915">
      <c r="B915">
        <f>IFERROR(VLOOKUP(A915,Grootboekschema!$A$1:$B$129,2,0), "")</f>
        <v/>
      </c>
    </row>
    <row r="916">
      <c r="B916">
        <f>IFERROR(VLOOKUP(A916,Grootboekschema!$A$1:$B$129,2,0), "")</f>
        <v/>
      </c>
    </row>
    <row r="917">
      <c r="B917">
        <f>IFERROR(VLOOKUP(A917,Grootboekschema!$A$1:$B$129,2,0), "")</f>
        <v/>
      </c>
    </row>
    <row r="918">
      <c r="B918">
        <f>IFERROR(VLOOKUP(A918,Grootboekschema!$A$1:$B$129,2,0), "")</f>
        <v/>
      </c>
    </row>
    <row r="919">
      <c r="B919">
        <f>IFERROR(VLOOKUP(A919,Grootboekschema!$A$1:$B$129,2,0), "")</f>
        <v/>
      </c>
    </row>
    <row r="920">
      <c r="B920">
        <f>IFERROR(VLOOKUP(A920,Grootboekschema!$A$1:$B$129,2,0), "")</f>
        <v/>
      </c>
    </row>
    <row r="921">
      <c r="B921">
        <f>IFERROR(VLOOKUP(A921,Grootboekschema!$A$1:$B$129,2,0), "")</f>
        <v/>
      </c>
    </row>
    <row r="922">
      <c r="B922">
        <f>IFERROR(VLOOKUP(A922,Grootboekschema!$A$1:$B$129,2,0), "")</f>
        <v/>
      </c>
    </row>
    <row r="923">
      <c r="B923">
        <f>IFERROR(VLOOKUP(A923,Grootboekschema!$A$1:$B$129,2,0), "")</f>
        <v/>
      </c>
    </row>
    <row r="924">
      <c r="B924">
        <f>IFERROR(VLOOKUP(A924,Grootboekschema!$A$1:$B$129,2,0), "")</f>
        <v/>
      </c>
    </row>
    <row r="925">
      <c r="B925">
        <f>IFERROR(VLOOKUP(A925,Grootboekschema!$A$1:$B$129,2,0), "")</f>
        <v/>
      </c>
    </row>
    <row r="926">
      <c r="B926">
        <f>IFERROR(VLOOKUP(A926,Grootboekschema!$A$1:$B$129,2,0), "")</f>
        <v/>
      </c>
    </row>
    <row r="927">
      <c r="B927">
        <f>IFERROR(VLOOKUP(A927,Grootboekschema!$A$1:$B$129,2,0), "")</f>
        <v/>
      </c>
    </row>
    <row r="928">
      <c r="B928">
        <f>IFERROR(VLOOKUP(A928,Grootboekschema!$A$1:$B$129,2,0), "")</f>
        <v/>
      </c>
    </row>
    <row r="929">
      <c r="B929">
        <f>IFERROR(VLOOKUP(A929,Grootboekschema!$A$1:$B$129,2,0), "")</f>
        <v/>
      </c>
    </row>
    <row r="930">
      <c r="B930">
        <f>IFERROR(VLOOKUP(A930,Grootboekschema!$A$1:$B$129,2,0), "")</f>
        <v/>
      </c>
    </row>
    <row r="931">
      <c r="B931">
        <f>IFERROR(VLOOKUP(A931,Grootboekschema!$A$1:$B$129,2,0), "")</f>
        <v/>
      </c>
    </row>
    <row r="932">
      <c r="B932">
        <f>IFERROR(VLOOKUP(A932,Grootboekschema!$A$1:$B$129,2,0), "")</f>
        <v/>
      </c>
    </row>
    <row r="933">
      <c r="B933">
        <f>IFERROR(VLOOKUP(A933,Grootboekschema!$A$1:$B$129,2,0), "")</f>
        <v/>
      </c>
    </row>
    <row r="934">
      <c r="B934">
        <f>IFERROR(VLOOKUP(A934,Grootboekschema!$A$1:$B$129,2,0), "")</f>
        <v/>
      </c>
    </row>
    <row r="935">
      <c r="B935">
        <f>IFERROR(VLOOKUP(A935,Grootboekschema!$A$1:$B$129,2,0), "")</f>
        <v/>
      </c>
    </row>
    <row r="936">
      <c r="B936">
        <f>IFERROR(VLOOKUP(A936,Grootboekschema!$A$1:$B$129,2,0), "")</f>
        <v/>
      </c>
    </row>
    <row r="937">
      <c r="B937">
        <f>IFERROR(VLOOKUP(A937,Grootboekschema!$A$1:$B$129,2,0), "")</f>
        <v/>
      </c>
    </row>
    <row r="938">
      <c r="B938">
        <f>IFERROR(VLOOKUP(A938,Grootboekschema!$A$1:$B$129,2,0), "")</f>
        <v/>
      </c>
    </row>
    <row r="939">
      <c r="B939">
        <f>IFERROR(VLOOKUP(A939,Grootboekschema!$A$1:$B$129,2,0), "")</f>
        <v/>
      </c>
    </row>
    <row r="940">
      <c r="B940">
        <f>IFERROR(VLOOKUP(A940,Grootboekschema!$A$1:$B$129,2,0), "")</f>
        <v/>
      </c>
    </row>
    <row r="941">
      <c r="B941">
        <f>IFERROR(VLOOKUP(A941,Grootboekschema!$A$1:$B$129,2,0), "")</f>
        <v/>
      </c>
    </row>
    <row r="942">
      <c r="B942">
        <f>IFERROR(VLOOKUP(A942,Grootboekschema!$A$1:$B$129,2,0), "")</f>
        <v/>
      </c>
    </row>
    <row r="943">
      <c r="B943">
        <f>IFERROR(VLOOKUP(A943,Grootboekschema!$A$1:$B$129,2,0), "")</f>
        <v/>
      </c>
    </row>
    <row r="944">
      <c r="B944">
        <f>IFERROR(VLOOKUP(A944,Grootboekschema!$A$1:$B$129,2,0), "")</f>
        <v/>
      </c>
    </row>
    <row r="945">
      <c r="B945">
        <f>IFERROR(VLOOKUP(A945,Grootboekschema!$A$1:$B$129,2,0), "")</f>
        <v/>
      </c>
    </row>
    <row r="946">
      <c r="B946">
        <f>IFERROR(VLOOKUP(A946,Grootboekschema!$A$1:$B$129,2,0), "")</f>
        <v/>
      </c>
    </row>
    <row r="947">
      <c r="B947">
        <f>IFERROR(VLOOKUP(A947,Grootboekschema!$A$1:$B$129,2,0), "")</f>
        <v/>
      </c>
    </row>
    <row r="948">
      <c r="B948">
        <f>IFERROR(VLOOKUP(A948,Grootboekschema!$A$1:$B$129,2,0), "")</f>
        <v/>
      </c>
    </row>
    <row r="949">
      <c r="B949">
        <f>IFERROR(VLOOKUP(A949,Grootboekschema!$A$1:$B$129,2,0), "")</f>
        <v/>
      </c>
    </row>
    <row r="950">
      <c r="B950">
        <f>IFERROR(VLOOKUP(A950,Grootboekschema!$A$1:$B$129,2,0), "")</f>
        <v/>
      </c>
    </row>
    <row r="951">
      <c r="B951">
        <f>IFERROR(VLOOKUP(A951,Grootboekschema!$A$1:$B$129,2,0), "")</f>
        <v/>
      </c>
    </row>
    <row r="952">
      <c r="B952">
        <f>IFERROR(VLOOKUP(A952,Grootboekschema!$A$1:$B$129,2,0), "")</f>
        <v/>
      </c>
    </row>
    <row r="953">
      <c r="B953">
        <f>IFERROR(VLOOKUP(A953,Grootboekschema!$A$1:$B$129,2,0), "")</f>
        <v/>
      </c>
    </row>
    <row r="954">
      <c r="B954">
        <f>IFERROR(VLOOKUP(A954,Grootboekschema!$A$1:$B$129,2,0), "")</f>
        <v/>
      </c>
    </row>
    <row r="955">
      <c r="B955">
        <f>IFERROR(VLOOKUP(A955,Grootboekschema!$A$1:$B$129,2,0), "")</f>
        <v/>
      </c>
    </row>
    <row r="956">
      <c r="B956">
        <f>IFERROR(VLOOKUP(A956,Grootboekschema!$A$1:$B$129,2,0), "")</f>
        <v/>
      </c>
    </row>
    <row r="957">
      <c r="B957">
        <f>IFERROR(VLOOKUP(A957,Grootboekschema!$A$1:$B$129,2,0), "")</f>
        <v/>
      </c>
    </row>
    <row r="958">
      <c r="B958">
        <f>IFERROR(VLOOKUP(A958,Grootboekschema!$A$1:$B$129,2,0), "")</f>
        <v/>
      </c>
    </row>
    <row r="959">
      <c r="B959">
        <f>IFERROR(VLOOKUP(A959,Grootboekschema!$A$1:$B$129,2,0), "")</f>
        <v/>
      </c>
    </row>
    <row r="960">
      <c r="B960">
        <f>IFERROR(VLOOKUP(A960,Grootboekschema!$A$1:$B$129,2,0), "")</f>
        <v/>
      </c>
    </row>
    <row r="961">
      <c r="B961">
        <f>IFERROR(VLOOKUP(A961,Grootboekschema!$A$1:$B$129,2,0), "")</f>
        <v/>
      </c>
    </row>
    <row r="962">
      <c r="B962">
        <f>IFERROR(VLOOKUP(A962,Grootboekschema!$A$1:$B$129,2,0), "")</f>
        <v/>
      </c>
    </row>
    <row r="963">
      <c r="B963">
        <f>IFERROR(VLOOKUP(A963,Grootboekschema!$A$1:$B$129,2,0), "")</f>
        <v/>
      </c>
    </row>
    <row r="964">
      <c r="B964">
        <f>IFERROR(VLOOKUP(A964,Grootboekschema!$A$1:$B$129,2,0), "")</f>
        <v/>
      </c>
    </row>
    <row r="965">
      <c r="B965">
        <f>IFERROR(VLOOKUP(A965,Grootboekschema!$A$1:$B$129,2,0), "")</f>
        <v/>
      </c>
    </row>
    <row r="966">
      <c r="B966">
        <f>IFERROR(VLOOKUP(A966,Grootboekschema!$A$1:$B$129,2,0), "")</f>
        <v/>
      </c>
    </row>
    <row r="967">
      <c r="B967">
        <f>IFERROR(VLOOKUP(A967,Grootboekschema!$A$1:$B$129,2,0), "")</f>
        <v/>
      </c>
    </row>
    <row r="968">
      <c r="B968">
        <f>IFERROR(VLOOKUP(A968,Grootboekschema!$A$1:$B$129,2,0), "")</f>
        <v/>
      </c>
    </row>
    <row r="969">
      <c r="B969">
        <f>IFERROR(VLOOKUP(A969,Grootboekschema!$A$1:$B$129,2,0), "")</f>
        <v/>
      </c>
    </row>
    <row r="970">
      <c r="B970">
        <f>IFERROR(VLOOKUP(A970,Grootboekschema!$A$1:$B$129,2,0), "")</f>
        <v/>
      </c>
    </row>
    <row r="971">
      <c r="B971">
        <f>IFERROR(VLOOKUP(A971,Grootboekschema!$A$1:$B$129,2,0), "")</f>
        <v/>
      </c>
    </row>
    <row r="972">
      <c r="B972">
        <f>IFERROR(VLOOKUP(A972,Grootboekschema!$A$1:$B$129,2,0), "")</f>
        <v/>
      </c>
    </row>
    <row r="973">
      <c r="B973">
        <f>IFERROR(VLOOKUP(A973,Grootboekschema!$A$1:$B$129,2,0), "")</f>
        <v/>
      </c>
    </row>
    <row r="974">
      <c r="B974">
        <f>IFERROR(VLOOKUP(A974,Grootboekschema!$A$1:$B$129,2,0), "")</f>
        <v/>
      </c>
    </row>
    <row r="975">
      <c r="B975">
        <f>IFERROR(VLOOKUP(A975,Grootboekschema!$A$1:$B$129,2,0), "")</f>
        <v/>
      </c>
    </row>
    <row r="976">
      <c r="B976">
        <f>IFERROR(VLOOKUP(A976,Grootboekschema!$A$1:$B$129,2,0), "")</f>
        <v/>
      </c>
    </row>
    <row r="977">
      <c r="B977">
        <f>IFERROR(VLOOKUP(A977,Grootboekschema!$A$1:$B$129,2,0), "")</f>
        <v/>
      </c>
    </row>
    <row r="978">
      <c r="B978">
        <f>IFERROR(VLOOKUP(A978,Grootboekschema!$A$1:$B$129,2,0), "")</f>
        <v/>
      </c>
    </row>
    <row r="979">
      <c r="B979">
        <f>IFERROR(VLOOKUP(A979,Grootboekschema!$A$1:$B$129,2,0), "")</f>
        <v/>
      </c>
    </row>
    <row r="980">
      <c r="B980">
        <f>IFERROR(VLOOKUP(A980,Grootboekschema!$A$1:$B$129,2,0), "")</f>
        <v/>
      </c>
    </row>
    <row r="981">
      <c r="B981">
        <f>IFERROR(VLOOKUP(A981,Grootboekschema!$A$1:$B$129,2,0), "")</f>
        <v/>
      </c>
    </row>
    <row r="982">
      <c r="B982">
        <f>IFERROR(VLOOKUP(A982,Grootboekschema!$A$1:$B$129,2,0), "")</f>
        <v/>
      </c>
    </row>
    <row r="983">
      <c r="B983">
        <f>IFERROR(VLOOKUP(A983,Grootboekschema!$A$1:$B$129,2,0), "")</f>
        <v/>
      </c>
    </row>
    <row r="984">
      <c r="B984">
        <f>IFERROR(VLOOKUP(A984,Grootboekschema!$A$1:$B$129,2,0), "")</f>
        <v/>
      </c>
    </row>
    <row r="985">
      <c r="B985">
        <f>IFERROR(VLOOKUP(A985,Grootboekschema!$A$1:$B$129,2,0), "")</f>
        <v/>
      </c>
    </row>
    <row r="986">
      <c r="B986">
        <f>IFERROR(VLOOKUP(A986,Grootboekschema!$A$1:$B$129,2,0), "")</f>
        <v/>
      </c>
    </row>
    <row r="987">
      <c r="B987">
        <f>IFERROR(VLOOKUP(A987,Grootboekschema!$A$1:$B$129,2,0), "")</f>
        <v/>
      </c>
    </row>
    <row r="988">
      <c r="B988">
        <f>IFERROR(VLOOKUP(A988,Grootboekschema!$A$1:$B$129,2,0), "")</f>
        <v/>
      </c>
    </row>
    <row r="989">
      <c r="B989">
        <f>IFERROR(VLOOKUP(A989,Grootboekschema!$A$1:$B$129,2,0), "")</f>
        <v/>
      </c>
    </row>
    <row r="990">
      <c r="B990">
        <f>IFERROR(VLOOKUP(A990,Grootboekschema!$A$1:$B$129,2,0), "")</f>
        <v/>
      </c>
    </row>
    <row r="991">
      <c r="B991">
        <f>IFERROR(VLOOKUP(A991,Grootboekschema!$A$1:$B$129,2,0), "")</f>
        <v/>
      </c>
    </row>
    <row r="992">
      <c r="B992">
        <f>IFERROR(VLOOKUP(A992,Grootboekschema!$A$1:$B$129,2,0), "")</f>
        <v/>
      </c>
    </row>
    <row r="993">
      <c r="B993">
        <f>IFERROR(VLOOKUP(A993,Grootboekschema!$A$1:$B$129,2,0), "")</f>
        <v/>
      </c>
    </row>
    <row r="994">
      <c r="B994">
        <f>IFERROR(VLOOKUP(A994,Grootboekschema!$A$1:$B$129,2,0), "")</f>
        <v/>
      </c>
    </row>
    <row r="995">
      <c r="B995">
        <f>IFERROR(VLOOKUP(A995,Grootboekschema!$A$1:$B$129,2,0), "")</f>
        <v/>
      </c>
    </row>
    <row r="996">
      <c r="B996">
        <f>IFERROR(VLOOKUP(A996,Grootboekschema!$A$1:$B$129,2,0), "")</f>
        <v/>
      </c>
    </row>
    <row r="997">
      <c r="B997">
        <f>IFERROR(VLOOKUP(A997,Grootboekschema!$A$1:$B$129,2,0), "")</f>
        <v/>
      </c>
    </row>
    <row r="998">
      <c r="B998">
        <f>IFERROR(VLOOKUP(A998,Grootboekschema!$A$1:$B$129,2,0), "")</f>
        <v/>
      </c>
    </row>
    <row r="999">
      <c r="B999">
        <f>IFERROR(VLOOKUP(A999,Grootboekschema!$A$1:$B$129,2,0), "")</f>
        <v/>
      </c>
    </row>
    <row r="1000">
      <c r="B1000">
        <f>IFERROR(VLOOKUP(A1000,Grootboekschema!$A$1:$B$129,2,0), "")</f>
        <v/>
      </c>
    </row>
    <row r="1001">
      <c r="B1001">
        <f>IFERROR(VLOOKUP(A1001,Grootboekschema!$A$1:$B$129,2,0), "")</f>
        <v/>
      </c>
    </row>
    <row r="1002">
      <c r="B1002">
        <f>IFERROR(VLOOKUP(A1002,Grootboekschema!$A$1:$B$129,2,0), "")</f>
        <v/>
      </c>
    </row>
    <row r="1003">
      <c r="B1003">
        <f>IFERROR(VLOOKUP(A1003,Grootboekschema!$A$1:$B$129,2,0), "")</f>
        <v/>
      </c>
    </row>
    <row r="1004">
      <c r="B1004">
        <f>IFERROR(VLOOKUP(A1004,Grootboekschema!$A$1:$B$129,2,0), "")</f>
        <v/>
      </c>
    </row>
    <row r="1005">
      <c r="B1005">
        <f>IFERROR(VLOOKUP(A1005,Grootboekschema!$A$1:$B$129,2,0), "")</f>
        <v/>
      </c>
    </row>
    <row r="1006">
      <c r="B1006">
        <f>IFERROR(VLOOKUP(A1006,Grootboekschema!$A$1:$B$129,2,0), "")</f>
        <v/>
      </c>
    </row>
    <row r="1007">
      <c r="B1007">
        <f>IFERROR(VLOOKUP(A1007,Grootboekschema!$A$1:$B$129,2,0), "")</f>
        <v/>
      </c>
    </row>
    <row r="1008">
      <c r="B1008">
        <f>IFERROR(VLOOKUP(A1008,Grootboekschema!$A$1:$B$129,2,0), "")</f>
        <v/>
      </c>
    </row>
    <row r="1009">
      <c r="B1009">
        <f>IFERROR(VLOOKUP(A1009,Grootboekschema!$A$1:$B$129,2,0), "")</f>
        <v/>
      </c>
    </row>
    <row r="1010">
      <c r="B1010">
        <f>IFERROR(VLOOKUP(A1010,Grootboekschema!$A$1:$B$129,2,0), "")</f>
        <v/>
      </c>
    </row>
    <row r="1011">
      <c r="B1011">
        <f>IFERROR(VLOOKUP(A1011,Grootboekschema!$A$1:$B$129,2,0), "")</f>
        <v/>
      </c>
    </row>
    <row r="1012">
      <c r="B1012">
        <f>IFERROR(VLOOKUP(A1012,Grootboekschema!$A$1:$B$129,2,0), "")</f>
        <v/>
      </c>
    </row>
    <row r="1013">
      <c r="B1013">
        <f>IFERROR(VLOOKUP(A1013,Grootboekschema!$A$1:$B$129,2,0), "")</f>
        <v/>
      </c>
    </row>
    <row r="1014">
      <c r="B1014">
        <f>IFERROR(VLOOKUP(A1014,Grootboekschema!$A$1:$B$129,2,0), "")</f>
        <v/>
      </c>
    </row>
    <row r="1015">
      <c r="B1015">
        <f>IFERROR(VLOOKUP(A1015,Grootboekschema!$A$1:$B$129,2,0), "")</f>
        <v/>
      </c>
    </row>
    <row r="1016">
      <c r="B1016">
        <f>IFERROR(VLOOKUP(A1016,Grootboekschema!$A$1:$B$129,2,0), "")</f>
        <v/>
      </c>
    </row>
    <row r="1017">
      <c r="B1017">
        <f>IFERROR(VLOOKUP(A1017,Grootboekschema!$A$1:$B$129,2,0), "")</f>
        <v/>
      </c>
    </row>
    <row r="1018">
      <c r="B1018">
        <f>IFERROR(VLOOKUP(A1018,Grootboekschema!$A$1:$B$129,2,0), "")</f>
        <v/>
      </c>
    </row>
    <row r="1019">
      <c r="B1019">
        <f>IFERROR(VLOOKUP(A1019,Grootboekschema!$A$1:$B$129,2,0), "")</f>
        <v/>
      </c>
    </row>
    <row r="1020">
      <c r="B1020">
        <f>IFERROR(VLOOKUP(A1020,Grootboekschema!$A$1:$B$129,2,0), "")</f>
        <v/>
      </c>
    </row>
    <row r="1021">
      <c r="B1021">
        <f>IFERROR(VLOOKUP(A1021,Grootboekschema!$A$1:$B$129,2,0), "")</f>
        <v/>
      </c>
    </row>
    <row r="1022">
      <c r="B1022">
        <f>IFERROR(VLOOKUP(A1022,Grootboekschema!$A$1:$B$129,2,0), "")</f>
        <v/>
      </c>
    </row>
    <row r="1023">
      <c r="B1023">
        <f>IFERROR(VLOOKUP(A1023,Grootboekschema!$A$1:$B$129,2,0), "")</f>
        <v/>
      </c>
    </row>
    <row r="1024">
      <c r="B1024">
        <f>IFERROR(VLOOKUP(A1024,Grootboekschema!$A$1:$B$129,2,0), "")</f>
        <v/>
      </c>
    </row>
    <row r="1025">
      <c r="B1025">
        <f>IFERROR(VLOOKUP(A1025,Grootboekschema!$A$1:$B$129,2,0), "")</f>
        <v/>
      </c>
    </row>
    <row r="1026">
      <c r="B1026">
        <f>IFERROR(VLOOKUP(A1026,Grootboekschema!$A$1:$B$129,2,0), "")</f>
        <v/>
      </c>
    </row>
    <row r="1027">
      <c r="B1027">
        <f>IFERROR(VLOOKUP(A1027,Grootboekschema!$A$1:$B$129,2,0), "")</f>
        <v/>
      </c>
    </row>
    <row r="1028">
      <c r="B1028">
        <f>IFERROR(VLOOKUP(A1028,Grootboekschema!$A$1:$B$129,2,0), "")</f>
        <v/>
      </c>
    </row>
    <row r="1029">
      <c r="B1029">
        <f>IFERROR(VLOOKUP(A1029,Grootboekschema!$A$1:$B$129,2,0), "")</f>
        <v/>
      </c>
    </row>
    <row r="1030">
      <c r="B1030">
        <f>IFERROR(VLOOKUP(A1030,Grootboekschema!$A$1:$B$129,2,0), "")</f>
        <v/>
      </c>
    </row>
    <row r="1031">
      <c r="B1031">
        <f>IFERROR(VLOOKUP(A1031,Grootboekschema!$A$1:$B$129,2,0), "")</f>
        <v/>
      </c>
    </row>
    <row r="1032">
      <c r="B1032">
        <f>IFERROR(VLOOKUP(A1032,Grootboekschema!$A$1:$B$129,2,0), "")</f>
        <v/>
      </c>
    </row>
    <row r="1033">
      <c r="B1033">
        <f>IFERROR(VLOOKUP(A1033,Grootboekschema!$A$1:$B$129,2,0), "")</f>
        <v/>
      </c>
    </row>
    <row r="1034">
      <c r="B1034">
        <f>IFERROR(VLOOKUP(A1034,Grootboekschema!$A$1:$B$129,2,0), "")</f>
        <v/>
      </c>
    </row>
    <row r="1035">
      <c r="B1035">
        <f>IFERROR(VLOOKUP(A1035,Grootboekschema!$A$1:$B$129,2,0), "")</f>
        <v/>
      </c>
    </row>
    <row r="1036">
      <c r="B1036">
        <f>IFERROR(VLOOKUP(A1036,Grootboekschema!$A$1:$B$129,2,0), "")</f>
        <v/>
      </c>
    </row>
    <row r="1037">
      <c r="B1037">
        <f>IFERROR(VLOOKUP(A1037,Grootboekschema!$A$1:$B$129,2,0), "")</f>
        <v/>
      </c>
    </row>
    <row r="1038">
      <c r="B1038">
        <f>IFERROR(VLOOKUP(A1038,Grootboekschema!$A$1:$B$129,2,0), "")</f>
        <v/>
      </c>
    </row>
    <row r="1039">
      <c r="B1039">
        <f>IFERROR(VLOOKUP(A1039,Grootboekschema!$A$1:$B$129,2,0), "")</f>
        <v/>
      </c>
    </row>
    <row r="1040">
      <c r="B1040">
        <f>IFERROR(VLOOKUP(A1040,Grootboekschema!$A$1:$B$129,2,0), "")</f>
        <v/>
      </c>
    </row>
    <row r="1041">
      <c r="B1041">
        <f>IFERROR(VLOOKUP(A1041,Grootboekschema!$A$1:$B$129,2,0), "")</f>
        <v/>
      </c>
    </row>
    <row r="1042">
      <c r="B1042">
        <f>IFERROR(VLOOKUP(A1042,Grootboekschema!$A$1:$B$129,2,0), "")</f>
        <v/>
      </c>
    </row>
    <row r="1043">
      <c r="B1043">
        <f>IFERROR(VLOOKUP(A1043,Grootboekschema!$A$1:$B$129,2,0), "")</f>
        <v/>
      </c>
    </row>
    <row r="1044">
      <c r="B1044">
        <f>IFERROR(VLOOKUP(A1044,Grootboekschema!$A$1:$B$129,2,0), "")</f>
        <v/>
      </c>
    </row>
    <row r="1045">
      <c r="B1045">
        <f>IFERROR(VLOOKUP(A1045,Grootboekschema!$A$1:$B$129,2,0), "")</f>
        <v/>
      </c>
    </row>
    <row r="1046">
      <c r="B1046">
        <f>IFERROR(VLOOKUP(A1046,Grootboekschema!$A$1:$B$129,2,0), "")</f>
        <v/>
      </c>
    </row>
    <row r="1047">
      <c r="B1047">
        <f>IFERROR(VLOOKUP(A1047,Grootboekschema!$A$1:$B$129,2,0), "")</f>
        <v/>
      </c>
    </row>
    <row r="1048">
      <c r="B1048">
        <f>IFERROR(VLOOKUP(A1048,Grootboekschema!$A$1:$B$129,2,0), "")</f>
        <v/>
      </c>
    </row>
    <row r="1049">
      <c r="B1049">
        <f>IFERROR(VLOOKUP(A1049,Grootboekschema!$A$1:$B$129,2,0), "")</f>
        <v/>
      </c>
    </row>
    <row r="1050">
      <c r="B1050">
        <f>IFERROR(VLOOKUP(A1050,Grootboekschema!$A$1:$B$129,2,0), "")</f>
        <v/>
      </c>
    </row>
    <row r="1051">
      <c r="B1051">
        <f>IFERROR(VLOOKUP(A1051,Grootboekschema!$A$1:$B$129,2,0), "")</f>
        <v/>
      </c>
    </row>
    <row r="1052">
      <c r="B1052">
        <f>IFERROR(VLOOKUP(A1052,Grootboekschema!$A$1:$B$129,2,0), "")</f>
        <v/>
      </c>
    </row>
    <row r="1053">
      <c r="B1053">
        <f>IFERROR(VLOOKUP(A1053,Grootboekschema!$A$1:$B$129,2,0), "")</f>
        <v/>
      </c>
    </row>
    <row r="1054">
      <c r="B1054">
        <f>IFERROR(VLOOKUP(A1054,Grootboekschema!$A$1:$B$129,2,0), "")</f>
        <v/>
      </c>
    </row>
    <row r="1055">
      <c r="B1055">
        <f>IFERROR(VLOOKUP(A1055,Grootboekschema!$A$1:$B$129,2,0), "")</f>
        <v/>
      </c>
    </row>
    <row r="1056">
      <c r="B1056">
        <f>IFERROR(VLOOKUP(A1056,Grootboekschema!$A$1:$B$129,2,0), "")</f>
        <v/>
      </c>
    </row>
    <row r="1057">
      <c r="B1057">
        <f>IFERROR(VLOOKUP(A1057,Grootboekschema!$A$1:$B$129,2,0), "")</f>
        <v/>
      </c>
    </row>
    <row r="1058">
      <c r="B1058">
        <f>IFERROR(VLOOKUP(A1058,Grootboekschema!$A$1:$B$129,2,0), "")</f>
        <v/>
      </c>
    </row>
    <row r="1059">
      <c r="B1059">
        <f>IFERROR(VLOOKUP(A1059,Grootboekschema!$A$1:$B$129,2,0), "")</f>
        <v/>
      </c>
    </row>
    <row r="1060">
      <c r="B1060">
        <f>IFERROR(VLOOKUP(A1060,Grootboekschema!$A$1:$B$129,2,0), "")</f>
        <v/>
      </c>
    </row>
    <row r="1061">
      <c r="B1061">
        <f>IFERROR(VLOOKUP(A1061,Grootboekschema!$A$1:$B$129,2,0), "")</f>
        <v/>
      </c>
    </row>
    <row r="1062">
      <c r="B1062">
        <f>IFERROR(VLOOKUP(A1062,Grootboekschema!$A$1:$B$129,2,0), "")</f>
        <v/>
      </c>
    </row>
    <row r="1063">
      <c r="B1063">
        <f>IFERROR(VLOOKUP(A1063,Grootboekschema!$A$1:$B$129,2,0), "")</f>
        <v/>
      </c>
    </row>
    <row r="1064">
      <c r="B1064">
        <f>IFERROR(VLOOKUP(A1064,Grootboekschema!$A$1:$B$129,2,0), "")</f>
        <v/>
      </c>
    </row>
    <row r="1065">
      <c r="B1065">
        <f>IFERROR(VLOOKUP(A1065,Grootboekschema!$A$1:$B$129,2,0), "")</f>
        <v/>
      </c>
    </row>
    <row r="1066">
      <c r="B1066">
        <f>IFERROR(VLOOKUP(A1066,Grootboekschema!$A$1:$B$129,2,0), "")</f>
        <v/>
      </c>
    </row>
    <row r="1067">
      <c r="B1067">
        <f>IFERROR(VLOOKUP(A1067,Grootboekschema!$A$1:$B$129,2,0), "")</f>
        <v/>
      </c>
    </row>
    <row r="1068">
      <c r="B1068">
        <f>IFERROR(VLOOKUP(A1068,Grootboekschema!$A$1:$B$129,2,0), "")</f>
        <v/>
      </c>
    </row>
    <row r="1069">
      <c r="B1069">
        <f>IFERROR(VLOOKUP(A1069,Grootboekschema!$A$1:$B$129,2,0), "")</f>
        <v/>
      </c>
    </row>
    <row r="1070">
      <c r="B1070">
        <f>IFERROR(VLOOKUP(A1070,Grootboekschema!$A$1:$B$129,2,0), "")</f>
        <v/>
      </c>
    </row>
    <row r="1071">
      <c r="B1071">
        <f>IFERROR(VLOOKUP(A1071,Grootboekschema!$A$1:$B$129,2,0), "")</f>
        <v/>
      </c>
    </row>
    <row r="1072">
      <c r="B1072">
        <f>IFERROR(VLOOKUP(A1072,Grootboekschema!$A$1:$B$129,2,0), "")</f>
        <v/>
      </c>
    </row>
    <row r="1073">
      <c r="B1073">
        <f>IFERROR(VLOOKUP(A1073,Grootboekschema!$A$1:$B$129,2,0), "")</f>
        <v/>
      </c>
    </row>
    <row r="1074">
      <c r="B1074">
        <f>IFERROR(VLOOKUP(A1074,Grootboekschema!$A$1:$B$129,2,0), "")</f>
        <v/>
      </c>
    </row>
    <row r="1075">
      <c r="B1075">
        <f>IFERROR(VLOOKUP(A1075,Grootboekschema!$A$1:$B$129,2,0), "")</f>
        <v/>
      </c>
    </row>
    <row r="1076">
      <c r="B1076">
        <f>IFERROR(VLOOKUP(A1076,Grootboekschema!$A$1:$B$129,2,0), "")</f>
        <v/>
      </c>
    </row>
    <row r="1077">
      <c r="B1077">
        <f>IFERROR(VLOOKUP(A1077,Grootboekschema!$A$1:$B$129,2,0), "")</f>
        <v/>
      </c>
    </row>
    <row r="1078">
      <c r="B1078">
        <f>IFERROR(VLOOKUP(A1078,Grootboekschema!$A$1:$B$129,2,0), "")</f>
        <v/>
      </c>
    </row>
    <row r="1079">
      <c r="B1079">
        <f>IFERROR(VLOOKUP(A1079,Grootboekschema!$A$1:$B$129,2,0), "")</f>
        <v/>
      </c>
    </row>
    <row r="1080">
      <c r="B1080">
        <f>IFERROR(VLOOKUP(A1080,Grootboekschema!$A$1:$B$129,2,0), "")</f>
        <v/>
      </c>
    </row>
    <row r="1081">
      <c r="B1081">
        <f>IFERROR(VLOOKUP(A1081,Grootboekschema!$A$1:$B$129,2,0), "")</f>
        <v/>
      </c>
    </row>
    <row r="1082">
      <c r="B1082">
        <f>IFERROR(VLOOKUP(A1082,Grootboekschema!$A$1:$B$129,2,0), "")</f>
        <v/>
      </c>
    </row>
    <row r="1083">
      <c r="B1083">
        <f>IFERROR(VLOOKUP(A1083,Grootboekschema!$A$1:$B$129,2,0), "")</f>
        <v/>
      </c>
    </row>
    <row r="1084">
      <c r="B1084">
        <f>IFERROR(VLOOKUP(A1084,Grootboekschema!$A$1:$B$129,2,0), "")</f>
        <v/>
      </c>
    </row>
    <row r="1085">
      <c r="B1085">
        <f>IFERROR(VLOOKUP(A1085,Grootboekschema!$A$1:$B$129,2,0), "")</f>
        <v/>
      </c>
    </row>
    <row r="1086">
      <c r="B1086">
        <f>IFERROR(VLOOKUP(A1086,Grootboekschema!$A$1:$B$129,2,0), "")</f>
        <v/>
      </c>
    </row>
    <row r="1087">
      <c r="B1087">
        <f>IFERROR(VLOOKUP(A1087,Grootboekschema!$A$1:$B$129,2,0), "")</f>
        <v/>
      </c>
    </row>
    <row r="1088">
      <c r="B1088">
        <f>IFERROR(VLOOKUP(A1088,Grootboekschema!$A$1:$B$129,2,0), "")</f>
        <v/>
      </c>
    </row>
    <row r="1089">
      <c r="B1089">
        <f>IFERROR(VLOOKUP(A1089,Grootboekschema!$A$1:$B$129,2,0), "")</f>
        <v/>
      </c>
    </row>
    <row r="1090">
      <c r="B1090">
        <f>IFERROR(VLOOKUP(A1090,Grootboekschema!$A$1:$B$129,2,0), "")</f>
        <v/>
      </c>
    </row>
    <row r="1091">
      <c r="B1091">
        <f>IFERROR(VLOOKUP(A1091,Grootboekschema!$A$1:$B$129,2,0), "")</f>
        <v/>
      </c>
    </row>
    <row r="1092">
      <c r="B1092">
        <f>IFERROR(VLOOKUP(A1092,Grootboekschema!$A$1:$B$129,2,0), "")</f>
        <v/>
      </c>
    </row>
    <row r="1093">
      <c r="B1093">
        <f>IFERROR(VLOOKUP(A1093,Grootboekschema!$A$1:$B$129,2,0), "")</f>
        <v/>
      </c>
    </row>
    <row r="1094">
      <c r="B1094">
        <f>IFERROR(VLOOKUP(A1094,Grootboekschema!$A$1:$B$129,2,0), "")</f>
        <v/>
      </c>
    </row>
    <row r="1095">
      <c r="B1095">
        <f>IFERROR(VLOOKUP(A1095,Grootboekschema!$A$1:$B$129,2,0), "")</f>
        <v/>
      </c>
    </row>
    <row r="1096">
      <c r="B1096">
        <f>IFERROR(VLOOKUP(A1096,Grootboekschema!$A$1:$B$129,2,0), "")</f>
        <v/>
      </c>
    </row>
    <row r="1097">
      <c r="B1097">
        <f>IFERROR(VLOOKUP(A1097,Grootboekschema!$A$1:$B$129,2,0), "")</f>
        <v/>
      </c>
    </row>
    <row r="1098">
      <c r="B1098">
        <f>IFERROR(VLOOKUP(A1098,Grootboekschema!$A$1:$B$129,2,0), "")</f>
        <v/>
      </c>
    </row>
    <row r="1099">
      <c r="B1099">
        <f>IFERROR(VLOOKUP(A1099,Grootboekschema!$A$1:$B$129,2,0), "")</f>
        <v/>
      </c>
    </row>
    <row r="1100">
      <c r="B1100">
        <f>IFERROR(VLOOKUP(A1100,Grootboekschema!$A$1:$B$129,2,0), "")</f>
        <v/>
      </c>
    </row>
    <row r="1101">
      <c r="B1101">
        <f>IFERROR(VLOOKUP(A1101,Grootboekschema!$A$1:$B$129,2,0), "")</f>
        <v/>
      </c>
    </row>
    <row r="1102">
      <c r="B1102">
        <f>IFERROR(VLOOKUP(A1102,Grootboekschema!$A$1:$B$129,2,0), "")</f>
        <v/>
      </c>
    </row>
    <row r="1103">
      <c r="B1103">
        <f>IFERROR(VLOOKUP(A1103,Grootboekschema!$A$1:$B$129,2,0), "")</f>
        <v/>
      </c>
    </row>
    <row r="1104">
      <c r="B1104">
        <f>IFERROR(VLOOKUP(A1104,Grootboekschema!$A$1:$B$129,2,0), "")</f>
        <v/>
      </c>
    </row>
    <row r="1105">
      <c r="B1105">
        <f>IFERROR(VLOOKUP(A1105,Grootboekschema!$A$1:$B$129,2,0), "")</f>
        <v/>
      </c>
    </row>
    <row r="1106">
      <c r="B1106">
        <f>IFERROR(VLOOKUP(A1106,Grootboekschema!$A$1:$B$129,2,0), "")</f>
        <v/>
      </c>
    </row>
    <row r="1107">
      <c r="B1107">
        <f>IFERROR(VLOOKUP(A1107,Grootboekschema!$A$1:$B$129,2,0), "")</f>
        <v/>
      </c>
    </row>
    <row r="1108">
      <c r="B1108">
        <f>IFERROR(VLOOKUP(A1108,Grootboekschema!$A$1:$B$129,2,0), "")</f>
        <v/>
      </c>
    </row>
    <row r="1109">
      <c r="B1109">
        <f>IFERROR(VLOOKUP(A1109,Grootboekschema!$A$1:$B$129,2,0), "")</f>
        <v/>
      </c>
    </row>
    <row r="1110">
      <c r="B1110">
        <f>IFERROR(VLOOKUP(A1110,Grootboekschema!$A$1:$B$129,2,0), "")</f>
        <v/>
      </c>
    </row>
    <row r="1111">
      <c r="B1111">
        <f>IFERROR(VLOOKUP(A1111,Grootboekschema!$A$1:$B$129,2,0), "")</f>
        <v/>
      </c>
    </row>
    <row r="1112">
      <c r="B1112">
        <f>IFERROR(VLOOKUP(A1112,Grootboekschema!$A$1:$B$129,2,0), "")</f>
        <v/>
      </c>
    </row>
    <row r="1113">
      <c r="B1113">
        <f>IFERROR(VLOOKUP(A1113,Grootboekschema!$A$1:$B$129,2,0), "")</f>
        <v/>
      </c>
    </row>
    <row r="1114">
      <c r="B1114">
        <f>IFERROR(VLOOKUP(A1114,Grootboekschema!$A$1:$B$129,2,0), "")</f>
        <v/>
      </c>
    </row>
    <row r="1115">
      <c r="B1115">
        <f>IFERROR(VLOOKUP(A1115,Grootboekschema!$A$1:$B$129,2,0), "")</f>
        <v/>
      </c>
    </row>
    <row r="1116">
      <c r="B1116">
        <f>IFERROR(VLOOKUP(A1116,Grootboekschema!$A$1:$B$129,2,0), "")</f>
        <v/>
      </c>
    </row>
    <row r="1117">
      <c r="B1117">
        <f>IFERROR(VLOOKUP(A1117,Grootboekschema!$A$1:$B$129,2,0), "")</f>
        <v/>
      </c>
    </row>
    <row r="1118">
      <c r="B1118">
        <f>IFERROR(VLOOKUP(A1118,Grootboekschema!$A$1:$B$129,2,0), "")</f>
        <v/>
      </c>
    </row>
    <row r="1119">
      <c r="B1119">
        <f>IFERROR(VLOOKUP(A1119,Grootboekschema!$A$1:$B$129,2,0), "")</f>
        <v/>
      </c>
    </row>
    <row r="1120">
      <c r="B1120">
        <f>IFERROR(VLOOKUP(A1120,Grootboekschema!$A$1:$B$129,2,0), "")</f>
        <v/>
      </c>
    </row>
    <row r="1121">
      <c r="B1121">
        <f>IFERROR(VLOOKUP(A1121,Grootboekschema!$A$1:$B$129,2,0), "")</f>
        <v/>
      </c>
    </row>
    <row r="1122">
      <c r="B1122">
        <f>IFERROR(VLOOKUP(A1122,Grootboekschema!$A$1:$B$129,2,0), "")</f>
        <v/>
      </c>
    </row>
    <row r="1123">
      <c r="B1123">
        <f>IFERROR(VLOOKUP(A1123,Grootboekschema!$A$1:$B$129,2,0), "")</f>
        <v/>
      </c>
    </row>
    <row r="1124">
      <c r="B1124">
        <f>IFERROR(VLOOKUP(A1124,Grootboekschema!$A$1:$B$129,2,0), "")</f>
        <v/>
      </c>
    </row>
    <row r="1125">
      <c r="B1125">
        <f>IFERROR(VLOOKUP(A1125,Grootboekschema!$A$1:$B$129,2,0), "")</f>
        <v/>
      </c>
    </row>
    <row r="1126">
      <c r="B1126">
        <f>IFERROR(VLOOKUP(A1126,Grootboekschema!$A$1:$B$129,2,0), "")</f>
        <v/>
      </c>
    </row>
    <row r="1127">
      <c r="B1127">
        <f>IFERROR(VLOOKUP(A1127,Grootboekschema!$A$1:$B$129,2,0), "")</f>
        <v/>
      </c>
    </row>
    <row r="1128">
      <c r="B1128">
        <f>IFERROR(VLOOKUP(A1128,Grootboekschema!$A$1:$B$129,2,0), "")</f>
        <v/>
      </c>
    </row>
    <row r="1129">
      <c r="B1129">
        <f>IFERROR(VLOOKUP(A1129,Grootboekschema!$A$1:$B$129,2,0), "")</f>
        <v/>
      </c>
    </row>
    <row r="1130">
      <c r="B1130">
        <f>IFERROR(VLOOKUP(A1130,Grootboekschema!$A$1:$B$129,2,0), "")</f>
        <v/>
      </c>
    </row>
    <row r="1131">
      <c r="B1131">
        <f>IFERROR(VLOOKUP(A1131,Grootboekschema!$A$1:$B$129,2,0), "")</f>
        <v/>
      </c>
    </row>
    <row r="1132">
      <c r="B1132">
        <f>IFERROR(VLOOKUP(A1132,Grootboekschema!$A$1:$B$129,2,0), "")</f>
        <v/>
      </c>
    </row>
    <row r="1133">
      <c r="B1133">
        <f>IFERROR(VLOOKUP(A1133,Grootboekschema!$A$1:$B$129,2,0), "")</f>
        <v/>
      </c>
    </row>
    <row r="1134">
      <c r="B1134">
        <f>IFERROR(VLOOKUP(A1134,Grootboekschema!$A$1:$B$129,2,0), "")</f>
        <v/>
      </c>
    </row>
    <row r="1135">
      <c r="B1135">
        <f>IFERROR(VLOOKUP(A1135,Grootboekschema!$A$1:$B$129,2,0), "")</f>
        <v/>
      </c>
    </row>
    <row r="1136">
      <c r="B1136">
        <f>IFERROR(VLOOKUP(A1136,Grootboekschema!$A$1:$B$129,2,0), "")</f>
        <v/>
      </c>
    </row>
    <row r="1137">
      <c r="B1137">
        <f>IFERROR(VLOOKUP(A1137,Grootboekschema!$A$1:$B$129,2,0), "")</f>
        <v/>
      </c>
    </row>
    <row r="1138">
      <c r="B1138">
        <f>IFERROR(VLOOKUP(A1138,Grootboekschema!$A$1:$B$129,2,0), "")</f>
        <v/>
      </c>
    </row>
    <row r="1139">
      <c r="B1139">
        <f>IFERROR(VLOOKUP(A1139,Grootboekschema!$A$1:$B$129,2,0), "")</f>
        <v/>
      </c>
    </row>
    <row r="1140">
      <c r="B1140">
        <f>IFERROR(VLOOKUP(A1140,Grootboekschema!$A$1:$B$129,2,0), "")</f>
        <v/>
      </c>
    </row>
    <row r="1141">
      <c r="B1141">
        <f>IFERROR(VLOOKUP(A1141,Grootboekschema!$A$1:$B$129,2,0), "")</f>
        <v/>
      </c>
    </row>
    <row r="1142">
      <c r="B1142">
        <f>IFERROR(VLOOKUP(A1142,Grootboekschema!$A$1:$B$129,2,0), "")</f>
        <v/>
      </c>
    </row>
    <row r="1143">
      <c r="B1143">
        <f>IFERROR(VLOOKUP(A1143,Grootboekschema!$A$1:$B$129,2,0), "")</f>
        <v/>
      </c>
    </row>
    <row r="1144">
      <c r="B1144">
        <f>IFERROR(VLOOKUP(A1144,Grootboekschema!$A$1:$B$129,2,0), "")</f>
        <v/>
      </c>
    </row>
    <row r="1145">
      <c r="B1145">
        <f>IFERROR(VLOOKUP(A1145,Grootboekschema!$A$1:$B$129,2,0), "")</f>
        <v/>
      </c>
    </row>
    <row r="1146">
      <c r="B1146">
        <f>IFERROR(VLOOKUP(A1146,Grootboekschema!$A$1:$B$129,2,0), "")</f>
        <v/>
      </c>
    </row>
    <row r="1147">
      <c r="B1147">
        <f>IFERROR(VLOOKUP(A1147,Grootboekschema!$A$1:$B$129,2,0), "")</f>
        <v/>
      </c>
    </row>
    <row r="1148">
      <c r="B1148">
        <f>IFERROR(VLOOKUP(A1148,Grootboekschema!$A$1:$B$129,2,0), "")</f>
        <v/>
      </c>
    </row>
    <row r="1149">
      <c r="B1149">
        <f>IFERROR(VLOOKUP(A1149,Grootboekschema!$A$1:$B$129,2,0), "")</f>
        <v/>
      </c>
    </row>
    <row r="1150">
      <c r="B1150">
        <f>IFERROR(VLOOKUP(A1150,Grootboekschema!$A$1:$B$129,2,0), "")</f>
        <v/>
      </c>
    </row>
    <row r="1151">
      <c r="B1151">
        <f>IFERROR(VLOOKUP(A1151,Grootboekschema!$A$1:$B$129,2,0), "")</f>
        <v/>
      </c>
    </row>
    <row r="1152">
      <c r="B1152">
        <f>IFERROR(VLOOKUP(A1152,Grootboekschema!$A$1:$B$129,2,0), "")</f>
        <v/>
      </c>
    </row>
    <row r="1153">
      <c r="B1153">
        <f>IFERROR(VLOOKUP(A1153,Grootboekschema!$A$1:$B$129,2,0), "")</f>
        <v/>
      </c>
    </row>
    <row r="1154">
      <c r="B1154">
        <f>IFERROR(VLOOKUP(A1154,Grootboekschema!$A$1:$B$129,2,0), "")</f>
        <v/>
      </c>
    </row>
    <row r="1155">
      <c r="B1155">
        <f>IFERROR(VLOOKUP(A1155,Grootboekschema!$A$1:$B$129,2,0), "")</f>
        <v/>
      </c>
    </row>
    <row r="1156">
      <c r="B1156">
        <f>IFERROR(VLOOKUP(A1156,Grootboekschema!$A$1:$B$129,2,0), "")</f>
        <v/>
      </c>
    </row>
    <row r="1157">
      <c r="B1157">
        <f>IFERROR(VLOOKUP(A1157,Grootboekschema!$A$1:$B$129,2,0), "")</f>
        <v/>
      </c>
    </row>
    <row r="1158">
      <c r="B1158">
        <f>IFERROR(VLOOKUP(A1158,Grootboekschema!$A$1:$B$129,2,0), "")</f>
        <v/>
      </c>
    </row>
    <row r="1159">
      <c r="B1159">
        <f>IFERROR(VLOOKUP(A1159,Grootboekschema!$A$1:$B$129,2,0), "")</f>
        <v/>
      </c>
    </row>
    <row r="1160">
      <c r="B1160">
        <f>IFERROR(VLOOKUP(A1160,Grootboekschema!$A$1:$B$129,2,0), "")</f>
        <v/>
      </c>
    </row>
    <row r="1161">
      <c r="B1161">
        <f>IFERROR(VLOOKUP(A1161,Grootboekschema!$A$1:$B$129,2,0), "")</f>
        <v/>
      </c>
    </row>
    <row r="1162">
      <c r="B1162">
        <f>IFERROR(VLOOKUP(A1162,Grootboekschema!$A$1:$B$129,2,0), "")</f>
        <v/>
      </c>
    </row>
    <row r="1163">
      <c r="B1163">
        <f>IFERROR(VLOOKUP(A1163,Grootboekschema!$A$1:$B$129,2,0), "")</f>
        <v/>
      </c>
    </row>
    <row r="1164">
      <c r="B1164">
        <f>IFERROR(VLOOKUP(A1164,Grootboekschema!$A$1:$B$129,2,0), "")</f>
        <v/>
      </c>
    </row>
    <row r="1165">
      <c r="B1165">
        <f>IFERROR(VLOOKUP(A1165,Grootboekschema!$A$1:$B$129,2,0), "")</f>
        <v/>
      </c>
    </row>
    <row r="1166">
      <c r="B1166">
        <f>IFERROR(VLOOKUP(A1166,Grootboekschema!$A$1:$B$129,2,0), "")</f>
        <v/>
      </c>
    </row>
    <row r="1167">
      <c r="B1167">
        <f>IFERROR(VLOOKUP(A1167,Grootboekschema!$A$1:$B$129,2,0), "")</f>
        <v/>
      </c>
    </row>
    <row r="1168">
      <c r="B1168">
        <f>IFERROR(VLOOKUP(A1168,Grootboekschema!$A$1:$B$129,2,0), "")</f>
        <v/>
      </c>
    </row>
    <row r="1169">
      <c r="B1169">
        <f>IFERROR(VLOOKUP(A1169,Grootboekschema!$A$1:$B$129,2,0), "")</f>
        <v/>
      </c>
    </row>
    <row r="1170">
      <c r="B1170">
        <f>IFERROR(VLOOKUP(A1170,Grootboekschema!$A$1:$B$129,2,0), "")</f>
        <v/>
      </c>
    </row>
    <row r="1171">
      <c r="B1171">
        <f>IFERROR(VLOOKUP(A1171,Grootboekschema!$A$1:$B$129,2,0), "")</f>
        <v/>
      </c>
    </row>
    <row r="1172">
      <c r="B1172">
        <f>IFERROR(VLOOKUP(A1172,Grootboekschema!$A$1:$B$129,2,0), "")</f>
        <v/>
      </c>
    </row>
    <row r="1173">
      <c r="B1173">
        <f>IFERROR(VLOOKUP(A1173,Grootboekschema!$A$1:$B$129,2,0), "")</f>
        <v/>
      </c>
    </row>
    <row r="1174">
      <c r="B1174">
        <f>IFERROR(VLOOKUP(A1174,Grootboekschema!$A$1:$B$129,2,0), "")</f>
        <v/>
      </c>
    </row>
    <row r="1175">
      <c r="B1175">
        <f>IFERROR(VLOOKUP(A1175,Grootboekschema!$A$1:$B$129,2,0), "")</f>
        <v/>
      </c>
    </row>
    <row r="1176">
      <c r="B1176">
        <f>IFERROR(VLOOKUP(A1176,Grootboekschema!$A$1:$B$129,2,0), "")</f>
        <v/>
      </c>
    </row>
    <row r="1177">
      <c r="B1177">
        <f>IFERROR(VLOOKUP(A1177,Grootboekschema!$A$1:$B$129,2,0), "")</f>
        <v/>
      </c>
    </row>
    <row r="1178">
      <c r="B1178">
        <f>IFERROR(VLOOKUP(A1178,Grootboekschema!$A$1:$B$129,2,0), "")</f>
        <v/>
      </c>
    </row>
    <row r="1179">
      <c r="B1179">
        <f>IFERROR(VLOOKUP(A1179,Grootboekschema!$A$1:$B$129,2,0), "")</f>
        <v/>
      </c>
    </row>
    <row r="1180">
      <c r="B1180">
        <f>IFERROR(VLOOKUP(A1180,Grootboekschema!$A$1:$B$129,2,0), "")</f>
        <v/>
      </c>
    </row>
    <row r="1181">
      <c r="B1181">
        <f>IFERROR(VLOOKUP(A1181,Grootboekschema!$A$1:$B$129,2,0), "")</f>
        <v/>
      </c>
    </row>
    <row r="1182">
      <c r="B1182">
        <f>IFERROR(VLOOKUP(A1182,Grootboekschema!$A$1:$B$129,2,0), "")</f>
        <v/>
      </c>
    </row>
    <row r="1183">
      <c r="B1183">
        <f>IFERROR(VLOOKUP(A1183,Grootboekschema!$A$1:$B$129,2,0), "")</f>
        <v/>
      </c>
    </row>
    <row r="1184">
      <c r="B1184">
        <f>IFERROR(VLOOKUP(A1184,Grootboekschema!$A$1:$B$129,2,0), "")</f>
        <v/>
      </c>
    </row>
    <row r="1185">
      <c r="B1185">
        <f>IFERROR(VLOOKUP(A1185,Grootboekschema!$A$1:$B$129,2,0), "")</f>
        <v/>
      </c>
    </row>
    <row r="1186">
      <c r="B1186">
        <f>IFERROR(VLOOKUP(A1186,Grootboekschema!$A$1:$B$129,2,0), "")</f>
        <v/>
      </c>
    </row>
    <row r="1187">
      <c r="B1187">
        <f>IFERROR(VLOOKUP(A1187,Grootboekschema!$A$1:$B$129,2,0), "")</f>
        <v/>
      </c>
    </row>
    <row r="1188">
      <c r="B1188">
        <f>IFERROR(VLOOKUP(A1188,Grootboekschema!$A$1:$B$129,2,0), "")</f>
        <v/>
      </c>
    </row>
    <row r="1189">
      <c r="B1189">
        <f>IFERROR(VLOOKUP(A1189,Grootboekschema!$A$1:$B$129,2,0), "")</f>
        <v/>
      </c>
    </row>
    <row r="1190">
      <c r="B1190">
        <f>IFERROR(VLOOKUP(A1190,Grootboekschema!$A$1:$B$129,2,0), "")</f>
        <v/>
      </c>
    </row>
    <row r="1191">
      <c r="B1191">
        <f>IFERROR(VLOOKUP(A1191,Grootboekschema!$A$1:$B$129,2,0), "")</f>
        <v/>
      </c>
    </row>
    <row r="1192">
      <c r="B1192">
        <f>IFERROR(VLOOKUP(A1192,Grootboekschema!$A$1:$B$129,2,0), "")</f>
        <v/>
      </c>
    </row>
    <row r="1193">
      <c r="B1193">
        <f>IFERROR(VLOOKUP(A1193,Grootboekschema!$A$1:$B$129,2,0), "")</f>
        <v/>
      </c>
    </row>
    <row r="1194">
      <c r="B1194">
        <f>IFERROR(VLOOKUP(A1194,Grootboekschema!$A$1:$B$129,2,0), "")</f>
        <v/>
      </c>
    </row>
    <row r="1195">
      <c r="B1195">
        <f>IFERROR(VLOOKUP(A1195,Grootboekschema!$A$1:$B$129,2,0), "")</f>
        <v/>
      </c>
    </row>
    <row r="1196">
      <c r="B1196">
        <f>IFERROR(VLOOKUP(A1196,Grootboekschema!$A$1:$B$129,2,0), "")</f>
        <v/>
      </c>
    </row>
    <row r="1197">
      <c r="B1197">
        <f>IFERROR(VLOOKUP(A1197,Grootboekschema!$A$1:$B$129,2,0), "")</f>
        <v/>
      </c>
    </row>
    <row r="1198">
      <c r="B1198">
        <f>IFERROR(VLOOKUP(A1198,Grootboekschema!$A$1:$B$129,2,0), "")</f>
        <v/>
      </c>
    </row>
    <row r="1199">
      <c r="B1199">
        <f>IFERROR(VLOOKUP(A1199,Grootboekschema!$A$1:$B$129,2,0), "")</f>
        <v/>
      </c>
    </row>
    <row r="1200">
      <c r="B1200">
        <f>IFERROR(VLOOKUP(A1200,Grootboekschema!$A$1:$B$129,2,0), "")</f>
        <v/>
      </c>
    </row>
    <row r="1201">
      <c r="B1201">
        <f>IFERROR(VLOOKUP(A1201,Grootboekschema!$A$1:$B$129,2,0), "")</f>
        <v/>
      </c>
    </row>
    <row r="1202">
      <c r="B1202">
        <f>IFERROR(VLOOKUP(A1202,Grootboekschema!$A$1:$B$129,2,0), "")</f>
        <v/>
      </c>
    </row>
    <row r="1203">
      <c r="B1203">
        <f>IFERROR(VLOOKUP(A1203,Grootboekschema!$A$1:$B$129,2,0), "")</f>
        <v/>
      </c>
    </row>
    <row r="1204">
      <c r="B1204">
        <f>IFERROR(VLOOKUP(A1204,Grootboekschema!$A$1:$B$129,2,0), "")</f>
        <v/>
      </c>
    </row>
    <row r="1205">
      <c r="B1205">
        <f>IFERROR(VLOOKUP(A1205,Grootboekschema!$A$1:$B$129,2,0), "")</f>
        <v/>
      </c>
    </row>
    <row r="1206">
      <c r="B1206">
        <f>IFERROR(VLOOKUP(A1206,Grootboekschema!$A$1:$B$129,2,0), "")</f>
        <v/>
      </c>
    </row>
    <row r="1207">
      <c r="B1207">
        <f>IFERROR(VLOOKUP(A1207,Grootboekschema!$A$1:$B$129,2,0), "")</f>
        <v/>
      </c>
    </row>
    <row r="1208">
      <c r="B1208">
        <f>IFERROR(VLOOKUP(A1208,Grootboekschema!$A$1:$B$129,2,0), "")</f>
        <v/>
      </c>
    </row>
    <row r="1209">
      <c r="B1209">
        <f>IFERROR(VLOOKUP(A1209,Grootboekschema!$A$1:$B$129,2,0), "")</f>
        <v/>
      </c>
    </row>
    <row r="1210">
      <c r="B1210">
        <f>IFERROR(VLOOKUP(A1210,Grootboekschema!$A$1:$B$129,2,0), "")</f>
        <v/>
      </c>
    </row>
    <row r="1211">
      <c r="B1211">
        <f>IFERROR(VLOOKUP(A1211,Grootboekschema!$A$1:$B$129,2,0), "")</f>
        <v/>
      </c>
    </row>
    <row r="1212">
      <c r="B1212">
        <f>IFERROR(VLOOKUP(A1212,Grootboekschema!$A$1:$B$129,2,0), "")</f>
        <v/>
      </c>
    </row>
    <row r="1213">
      <c r="B1213">
        <f>IFERROR(VLOOKUP(A1213,Grootboekschema!$A$1:$B$129,2,0), "")</f>
        <v/>
      </c>
    </row>
    <row r="1214">
      <c r="B1214">
        <f>IFERROR(VLOOKUP(A1214,Grootboekschema!$A$1:$B$129,2,0), "")</f>
        <v/>
      </c>
    </row>
    <row r="1215">
      <c r="B1215">
        <f>IFERROR(VLOOKUP(A1215,Grootboekschema!$A$1:$B$129,2,0), "")</f>
        <v/>
      </c>
    </row>
    <row r="1216">
      <c r="B1216">
        <f>IFERROR(VLOOKUP(A1216,Grootboekschema!$A$1:$B$129,2,0), "")</f>
        <v/>
      </c>
    </row>
    <row r="1217">
      <c r="B1217">
        <f>IFERROR(VLOOKUP(A1217,Grootboekschema!$A$1:$B$129,2,0), "")</f>
        <v/>
      </c>
    </row>
    <row r="1218">
      <c r="B1218">
        <f>IFERROR(VLOOKUP(A1218,Grootboekschema!$A$1:$B$129,2,0), "")</f>
        <v/>
      </c>
    </row>
    <row r="1219">
      <c r="B1219">
        <f>IFERROR(VLOOKUP(A1219,Grootboekschema!$A$1:$B$129,2,0), "")</f>
        <v/>
      </c>
    </row>
    <row r="1220">
      <c r="B1220">
        <f>IFERROR(VLOOKUP(A1220,Grootboekschema!$A$1:$B$129,2,0), "")</f>
        <v/>
      </c>
    </row>
    <row r="1221">
      <c r="B1221">
        <f>IFERROR(VLOOKUP(A1221,Grootboekschema!$A$1:$B$129,2,0), "")</f>
        <v/>
      </c>
    </row>
    <row r="1222">
      <c r="B1222">
        <f>IFERROR(VLOOKUP(A1222,Grootboekschema!$A$1:$B$129,2,0), "")</f>
        <v/>
      </c>
    </row>
    <row r="1223">
      <c r="B1223">
        <f>IFERROR(VLOOKUP(A1223,Grootboekschema!$A$1:$B$129,2,0), "")</f>
        <v/>
      </c>
    </row>
    <row r="1224">
      <c r="B1224">
        <f>IFERROR(VLOOKUP(A1224,Grootboekschema!$A$1:$B$129,2,0), "")</f>
        <v/>
      </c>
    </row>
    <row r="1225">
      <c r="B1225">
        <f>IFERROR(VLOOKUP(A1225,Grootboekschema!$A$1:$B$129,2,0), "")</f>
        <v/>
      </c>
    </row>
    <row r="1226">
      <c r="B1226">
        <f>IFERROR(VLOOKUP(A1226,Grootboekschema!$A$1:$B$129,2,0), "")</f>
        <v/>
      </c>
    </row>
    <row r="1227">
      <c r="B1227">
        <f>IFERROR(VLOOKUP(A1227,Grootboekschema!$A$1:$B$129,2,0), "")</f>
        <v/>
      </c>
    </row>
    <row r="1228">
      <c r="B1228">
        <f>IFERROR(VLOOKUP(A1228,Grootboekschema!$A$1:$B$129,2,0), "")</f>
        <v/>
      </c>
    </row>
    <row r="1229">
      <c r="B1229">
        <f>IFERROR(VLOOKUP(A1229,Grootboekschema!$A$1:$B$129,2,0), "")</f>
        <v/>
      </c>
    </row>
    <row r="1230">
      <c r="B1230">
        <f>IFERROR(VLOOKUP(A1230,Grootboekschema!$A$1:$B$129,2,0), "")</f>
        <v/>
      </c>
    </row>
    <row r="1231">
      <c r="B1231">
        <f>IFERROR(VLOOKUP(A1231,Grootboekschema!$A$1:$B$129,2,0), "")</f>
        <v/>
      </c>
    </row>
    <row r="1232">
      <c r="B1232">
        <f>IFERROR(VLOOKUP(A1232,Grootboekschema!$A$1:$B$129,2,0), "")</f>
        <v/>
      </c>
    </row>
    <row r="1233">
      <c r="B1233">
        <f>IFERROR(VLOOKUP(A1233,Grootboekschema!$A$1:$B$129,2,0), "")</f>
        <v/>
      </c>
    </row>
    <row r="1234">
      <c r="B1234">
        <f>IFERROR(VLOOKUP(A1234,Grootboekschema!$A$1:$B$129,2,0), "")</f>
        <v/>
      </c>
    </row>
    <row r="1235">
      <c r="B1235">
        <f>IFERROR(VLOOKUP(A1235,Grootboekschema!$A$1:$B$129,2,0), "")</f>
        <v/>
      </c>
    </row>
    <row r="1236">
      <c r="B1236">
        <f>IFERROR(VLOOKUP(A1236,Grootboekschema!$A$1:$B$129,2,0), "")</f>
        <v/>
      </c>
    </row>
    <row r="1237">
      <c r="B1237">
        <f>IFERROR(VLOOKUP(A1237,Grootboekschema!$A$1:$B$129,2,0), "")</f>
        <v/>
      </c>
    </row>
    <row r="1238">
      <c r="B1238">
        <f>IFERROR(VLOOKUP(A1238,Grootboekschema!$A$1:$B$129,2,0), "")</f>
        <v/>
      </c>
    </row>
    <row r="1239">
      <c r="B1239">
        <f>IFERROR(VLOOKUP(A1239,Grootboekschema!$A$1:$B$129,2,0), "")</f>
        <v/>
      </c>
    </row>
    <row r="1240">
      <c r="B1240">
        <f>IFERROR(VLOOKUP(A1240,Grootboekschema!$A$1:$B$129,2,0), "")</f>
        <v/>
      </c>
    </row>
    <row r="1241">
      <c r="B1241">
        <f>IFERROR(VLOOKUP(A1241,Grootboekschema!$A$1:$B$129,2,0), "")</f>
        <v/>
      </c>
    </row>
    <row r="1242">
      <c r="B1242">
        <f>IFERROR(VLOOKUP(A1242,Grootboekschema!$A$1:$B$129,2,0), "")</f>
        <v/>
      </c>
    </row>
    <row r="1243">
      <c r="B1243">
        <f>IFERROR(VLOOKUP(A1243,Grootboekschema!$A$1:$B$129,2,0), "")</f>
        <v/>
      </c>
    </row>
    <row r="1244">
      <c r="B1244">
        <f>IFERROR(VLOOKUP(A1244,Grootboekschema!$A$1:$B$129,2,0), "")</f>
        <v/>
      </c>
    </row>
    <row r="1245">
      <c r="B1245">
        <f>IFERROR(VLOOKUP(A1245,Grootboekschema!$A$1:$B$129,2,0), "")</f>
        <v/>
      </c>
    </row>
    <row r="1246">
      <c r="B1246">
        <f>IFERROR(VLOOKUP(A1246,Grootboekschema!$A$1:$B$129,2,0), "")</f>
        <v/>
      </c>
    </row>
    <row r="1247">
      <c r="B1247">
        <f>IFERROR(VLOOKUP(A1247,Grootboekschema!$A$1:$B$129,2,0), "")</f>
        <v/>
      </c>
    </row>
    <row r="1248">
      <c r="B1248">
        <f>IFERROR(VLOOKUP(A1248,Grootboekschema!$A$1:$B$129,2,0), "")</f>
        <v/>
      </c>
    </row>
    <row r="1249">
      <c r="B1249">
        <f>IFERROR(VLOOKUP(A1249,Grootboekschema!$A$1:$B$129,2,0), "")</f>
        <v/>
      </c>
    </row>
    <row r="1250">
      <c r="B1250">
        <f>IFERROR(VLOOKUP(A1250,Grootboekschema!$A$1:$B$129,2,0), "")</f>
        <v/>
      </c>
    </row>
    <row r="1251">
      <c r="B1251">
        <f>IFERROR(VLOOKUP(A1251,Grootboekschema!$A$1:$B$129,2,0), "")</f>
        <v/>
      </c>
    </row>
    <row r="1252">
      <c r="B1252">
        <f>IFERROR(VLOOKUP(A1252,Grootboekschema!$A$1:$B$129,2,0), "")</f>
        <v/>
      </c>
    </row>
    <row r="1253">
      <c r="B1253">
        <f>IFERROR(VLOOKUP(A1253,Grootboekschema!$A$1:$B$129,2,0), "")</f>
        <v/>
      </c>
    </row>
    <row r="1254">
      <c r="B1254">
        <f>IFERROR(VLOOKUP(A1254,Grootboekschema!$A$1:$B$129,2,0), "")</f>
        <v/>
      </c>
    </row>
    <row r="1255">
      <c r="B1255">
        <f>IFERROR(VLOOKUP(A1255,Grootboekschema!$A$1:$B$129,2,0), "")</f>
        <v/>
      </c>
    </row>
    <row r="1256">
      <c r="B1256">
        <f>IFERROR(VLOOKUP(A1256,Grootboekschema!$A$1:$B$129,2,0), "")</f>
        <v/>
      </c>
    </row>
    <row r="1257">
      <c r="B1257">
        <f>IFERROR(VLOOKUP(A1257,Grootboekschema!$A$1:$B$129,2,0), "")</f>
        <v/>
      </c>
    </row>
    <row r="1258">
      <c r="B1258">
        <f>IFERROR(VLOOKUP(A1258,Grootboekschema!$A$1:$B$129,2,0), "")</f>
        <v/>
      </c>
    </row>
    <row r="1259">
      <c r="B1259">
        <f>IFERROR(VLOOKUP(A1259,Grootboekschema!$A$1:$B$129,2,0), "")</f>
        <v/>
      </c>
    </row>
    <row r="1260">
      <c r="B1260">
        <f>IFERROR(VLOOKUP(A1260,Grootboekschema!$A$1:$B$129,2,0), "")</f>
        <v/>
      </c>
    </row>
    <row r="1261">
      <c r="B1261">
        <f>IFERROR(VLOOKUP(A1261,Grootboekschema!$A$1:$B$129,2,0), "")</f>
        <v/>
      </c>
    </row>
    <row r="1262">
      <c r="B1262">
        <f>IFERROR(VLOOKUP(A1262,Grootboekschema!$A$1:$B$129,2,0), "")</f>
        <v/>
      </c>
    </row>
    <row r="1263">
      <c r="B1263">
        <f>IFERROR(VLOOKUP(A1263,Grootboekschema!$A$1:$B$129,2,0), "")</f>
        <v/>
      </c>
    </row>
    <row r="1264">
      <c r="B1264">
        <f>IFERROR(VLOOKUP(A1264,Grootboekschema!$A$1:$B$129,2,0), "")</f>
        <v/>
      </c>
    </row>
    <row r="1265">
      <c r="B1265">
        <f>IFERROR(VLOOKUP(A1265,Grootboekschema!$A$1:$B$129,2,0), "")</f>
        <v/>
      </c>
    </row>
    <row r="1266">
      <c r="B1266">
        <f>IFERROR(VLOOKUP(A1266,Grootboekschema!$A$1:$B$129,2,0), "")</f>
        <v/>
      </c>
    </row>
    <row r="1267">
      <c r="B1267">
        <f>IFERROR(VLOOKUP(A1267,Grootboekschema!$A$1:$B$129,2,0), "")</f>
        <v/>
      </c>
    </row>
    <row r="1268">
      <c r="B1268">
        <f>IFERROR(VLOOKUP(A1268,Grootboekschema!$A$1:$B$129,2,0), "")</f>
        <v/>
      </c>
    </row>
    <row r="1269">
      <c r="B1269">
        <f>IFERROR(VLOOKUP(A1269,Grootboekschema!$A$1:$B$129,2,0), "")</f>
        <v/>
      </c>
    </row>
    <row r="1270">
      <c r="B1270">
        <f>IFERROR(VLOOKUP(A1270,Grootboekschema!$A$1:$B$129,2,0), "")</f>
        <v/>
      </c>
    </row>
    <row r="1271">
      <c r="B1271">
        <f>IFERROR(VLOOKUP(A1271,Grootboekschema!$A$1:$B$129,2,0), "")</f>
        <v/>
      </c>
    </row>
    <row r="1272">
      <c r="B1272">
        <f>IFERROR(VLOOKUP(A1272,Grootboekschema!$A$1:$B$129,2,0), "")</f>
        <v/>
      </c>
    </row>
    <row r="1273">
      <c r="B1273">
        <f>IFERROR(VLOOKUP(A1273,Grootboekschema!$A$1:$B$129,2,0), "")</f>
        <v/>
      </c>
    </row>
    <row r="1274">
      <c r="B1274">
        <f>IFERROR(VLOOKUP(A1274,Grootboekschema!$A$1:$B$129,2,0), "")</f>
        <v/>
      </c>
    </row>
    <row r="1275">
      <c r="B1275">
        <f>IFERROR(VLOOKUP(A1275,Grootboekschema!$A$1:$B$129,2,0), "")</f>
        <v/>
      </c>
    </row>
    <row r="1276">
      <c r="B1276">
        <f>IFERROR(VLOOKUP(A1276,Grootboekschema!$A$1:$B$129,2,0), "")</f>
        <v/>
      </c>
    </row>
    <row r="1277">
      <c r="B1277">
        <f>IFERROR(VLOOKUP(A1277,Grootboekschema!$A$1:$B$129,2,0), "")</f>
        <v/>
      </c>
    </row>
    <row r="1278">
      <c r="B1278">
        <f>IFERROR(VLOOKUP(A1278,Grootboekschema!$A$1:$B$129,2,0), "")</f>
        <v/>
      </c>
    </row>
    <row r="1279">
      <c r="B1279">
        <f>IFERROR(VLOOKUP(A1279,Grootboekschema!$A$1:$B$129,2,0), "")</f>
        <v/>
      </c>
    </row>
    <row r="1280">
      <c r="B1280">
        <f>IFERROR(VLOOKUP(A1280,Grootboekschema!$A$1:$B$129,2,0), "")</f>
        <v/>
      </c>
    </row>
    <row r="1281">
      <c r="B1281">
        <f>IFERROR(VLOOKUP(A1281,Grootboekschema!$A$1:$B$129,2,0), "")</f>
        <v/>
      </c>
    </row>
    <row r="1282">
      <c r="B1282">
        <f>IFERROR(VLOOKUP(A1282,Grootboekschema!$A$1:$B$129,2,0), "")</f>
        <v/>
      </c>
    </row>
    <row r="1283">
      <c r="B1283">
        <f>IFERROR(VLOOKUP(A1283,Grootboekschema!$A$1:$B$129,2,0), "")</f>
        <v/>
      </c>
    </row>
    <row r="1284">
      <c r="B1284">
        <f>IFERROR(VLOOKUP(A1284,Grootboekschema!$A$1:$B$129,2,0), "")</f>
        <v/>
      </c>
    </row>
    <row r="1285">
      <c r="B1285">
        <f>IFERROR(VLOOKUP(A1285,Grootboekschema!$A$1:$B$129,2,0), "")</f>
        <v/>
      </c>
    </row>
    <row r="1286">
      <c r="B1286">
        <f>IFERROR(VLOOKUP(A1286,Grootboekschema!$A$1:$B$129,2,0), "")</f>
        <v/>
      </c>
    </row>
    <row r="1287">
      <c r="B1287">
        <f>IFERROR(VLOOKUP(A1287,Grootboekschema!$A$1:$B$129,2,0), "")</f>
        <v/>
      </c>
    </row>
    <row r="1288">
      <c r="B1288">
        <f>IFERROR(VLOOKUP(A1288,Grootboekschema!$A$1:$B$129,2,0), "")</f>
        <v/>
      </c>
    </row>
    <row r="1289">
      <c r="B1289">
        <f>IFERROR(VLOOKUP(A1289,Grootboekschema!$A$1:$B$129,2,0), "")</f>
        <v/>
      </c>
    </row>
    <row r="1290">
      <c r="B1290">
        <f>IFERROR(VLOOKUP(A1290,Grootboekschema!$A$1:$B$129,2,0), "")</f>
        <v/>
      </c>
    </row>
    <row r="1291">
      <c r="B1291">
        <f>IFERROR(VLOOKUP(A1291,Grootboekschema!$A$1:$B$129,2,0), "")</f>
        <v/>
      </c>
    </row>
    <row r="1292">
      <c r="B1292">
        <f>IFERROR(VLOOKUP(A1292,Grootboekschema!$A$1:$B$129,2,0), "")</f>
        <v/>
      </c>
    </row>
    <row r="1293">
      <c r="B1293">
        <f>IFERROR(VLOOKUP(A1293,Grootboekschema!$A$1:$B$129,2,0), "")</f>
        <v/>
      </c>
    </row>
    <row r="1294">
      <c r="B1294">
        <f>IFERROR(VLOOKUP(A1294,Grootboekschema!$A$1:$B$129,2,0), "")</f>
        <v/>
      </c>
    </row>
    <row r="1295">
      <c r="B1295">
        <f>IFERROR(VLOOKUP(A1295,Grootboekschema!$A$1:$B$129,2,0), "")</f>
        <v/>
      </c>
    </row>
    <row r="1296">
      <c r="B1296">
        <f>IFERROR(VLOOKUP(A1296,Grootboekschema!$A$1:$B$129,2,0), "")</f>
        <v/>
      </c>
    </row>
    <row r="1297">
      <c r="B1297">
        <f>IFERROR(VLOOKUP(A1297,Grootboekschema!$A$1:$B$129,2,0), "")</f>
        <v/>
      </c>
    </row>
    <row r="1298">
      <c r="B1298">
        <f>IFERROR(VLOOKUP(A1298,Grootboekschema!$A$1:$B$129,2,0), "")</f>
        <v/>
      </c>
    </row>
    <row r="1299">
      <c r="B1299">
        <f>IFERROR(VLOOKUP(A1299,Grootboekschema!$A$1:$B$129,2,0), "")</f>
        <v/>
      </c>
    </row>
    <row r="1300">
      <c r="B1300">
        <f>IFERROR(VLOOKUP(A1300,Grootboekschema!$A$1:$B$129,2,0), "")</f>
        <v/>
      </c>
    </row>
    <row r="1301">
      <c r="B1301">
        <f>IFERROR(VLOOKUP(A1301,Grootboekschema!$A$1:$B$129,2,0), "")</f>
        <v/>
      </c>
    </row>
    <row r="1302">
      <c r="B1302">
        <f>IFERROR(VLOOKUP(A1302,Grootboekschema!$A$1:$B$129,2,0), "")</f>
        <v/>
      </c>
    </row>
    <row r="1303">
      <c r="B1303">
        <f>IFERROR(VLOOKUP(A1303,Grootboekschema!$A$1:$B$129,2,0), "")</f>
        <v/>
      </c>
    </row>
    <row r="1304">
      <c r="B1304">
        <f>IFERROR(VLOOKUP(A1304,Grootboekschema!$A$1:$B$129,2,0), "")</f>
        <v/>
      </c>
    </row>
    <row r="1305">
      <c r="B1305">
        <f>IFERROR(VLOOKUP(A1305,Grootboekschema!$A$1:$B$129,2,0), "")</f>
        <v/>
      </c>
    </row>
    <row r="1306">
      <c r="B1306">
        <f>IFERROR(VLOOKUP(A1306,Grootboekschema!$A$1:$B$129,2,0), "")</f>
        <v/>
      </c>
    </row>
    <row r="1307">
      <c r="B1307">
        <f>IFERROR(VLOOKUP(A1307,Grootboekschema!$A$1:$B$129,2,0), "")</f>
        <v/>
      </c>
    </row>
    <row r="1308">
      <c r="B1308">
        <f>IFERROR(VLOOKUP(A1308,Grootboekschema!$A$1:$B$129,2,0), "")</f>
        <v/>
      </c>
    </row>
    <row r="1309">
      <c r="B1309">
        <f>IFERROR(VLOOKUP(A1309,Grootboekschema!$A$1:$B$129,2,0), "")</f>
        <v/>
      </c>
    </row>
    <row r="1310">
      <c r="B1310">
        <f>IFERROR(VLOOKUP(A1310,Grootboekschema!$A$1:$B$129,2,0), "")</f>
        <v/>
      </c>
    </row>
    <row r="1311">
      <c r="B1311">
        <f>IFERROR(VLOOKUP(A1311,Grootboekschema!$A$1:$B$129,2,0), "")</f>
        <v/>
      </c>
    </row>
    <row r="1312">
      <c r="B1312">
        <f>IFERROR(VLOOKUP(A1312,Grootboekschema!$A$1:$B$129,2,0), "")</f>
        <v/>
      </c>
    </row>
    <row r="1313">
      <c r="B1313">
        <f>IFERROR(VLOOKUP(A1313,Grootboekschema!$A$1:$B$129,2,0), "")</f>
        <v/>
      </c>
    </row>
    <row r="1314">
      <c r="B1314">
        <f>IFERROR(VLOOKUP(A1314,Grootboekschema!$A$1:$B$129,2,0), "")</f>
        <v/>
      </c>
    </row>
    <row r="1315">
      <c r="B1315">
        <f>IFERROR(VLOOKUP(A1315,Grootboekschema!$A$1:$B$129,2,0), "")</f>
        <v/>
      </c>
    </row>
    <row r="1316">
      <c r="B1316">
        <f>IFERROR(VLOOKUP(A1316,Grootboekschema!$A$1:$B$129,2,0), "")</f>
        <v/>
      </c>
    </row>
    <row r="1317">
      <c r="B1317">
        <f>IFERROR(VLOOKUP(A1317,Grootboekschema!$A$1:$B$129,2,0), "")</f>
        <v/>
      </c>
    </row>
    <row r="1318">
      <c r="B1318">
        <f>IFERROR(VLOOKUP(A1318,Grootboekschema!$A$1:$B$129,2,0), "")</f>
        <v/>
      </c>
    </row>
    <row r="1319">
      <c r="B1319">
        <f>IFERROR(VLOOKUP(A1319,Grootboekschema!$A$1:$B$129,2,0), "")</f>
        <v/>
      </c>
    </row>
    <row r="1320">
      <c r="B1320">
        <f>IFERROR(VLOOKUP(A1320,Grootboekschema!$A$1:$B$129,2,0), "")</f>
        <v/>
      </c>
    </row>
    <row r="1321">
      <c r="B1321">
        <f>IFERROR(VLOOKUP(A1321,Grootboekschema!$A$1:$B$129,2,0), "")</f>
        <v/>
      </c>
    </row>
    <row r="1322">
      <c r="B1322">
        <f>IFERROR(VLOOKUP(A1322,Grootboekschema!$A$1:$B$129,2,0), "")</f>
        <v/>
      </c>
    </row>
    <row r="1323">
      <c r="B1323">
        <f>IFERROR(VLOOKUP(A1323,Grootboekschema!$A$1:$B$129,2,0), "")</f>
        <v/>
      </c>
    </row>
    <row r="1324">
      <c r="B1324">
        <f>IFERROR(VLOOKUP(A1324,Grootboekschema!$A$1:$B$129,2,0), "")</f>
        <v/>
      </c>
    </row>
    <row r="1325">
      <c r="B1325">
        <f>IFERROR(VLOOKUP(A1325,Grootboekschema!$A$1:$B$129,2,0), "")</f>
        <v/>
      </c>
    </row>
    <row r="1326">
      <c r="B1326">
        <f>IFERROR(VLOOKUP(A1326,Grootboekschema!$A$1:$B$129,2,0), "")</f>
        <v/>
      </c>
    </row>
    <row r="1327">
      <c r="B1327">
        <f>IFERROR(VLOOKUP(A1327,Grootboekschema!$A$1:$B$129,2,0), "")</f>
        <v/>
      </c>
    </row>
    <row r="1328">
      <c r="B1328">
        <f>IFERROR(VLOOKUP(A1328,Grootboekschema!$A$1:$B$129,2,0), "")</f>
        <v/>
      </c>
    </row>
    <row r="1329">
      <c r="B1329">
        <f>IFERROR(VLOOKUP(A1329,Grootboekschema!$A$1:$B$129,2,0), "")</f>
        <v/>
      </c>
    </row>
    <row r="1330">
      <c r="B1330">
        <f>IFERROR(VLOOKUP(A1330,Grootboekschema!$A$1:$B$129,2,0), "")</f>
        <v/>
      </c>
    </row>
    <row r="1331">
      <c r="B1331">
        <f>IFERROR(VLOOKUP(A1331,Grootboekschema!$A$1:$B$129,2,0), "")</f>
        <v/>
      </c>
    </row>
    <row r="1332">
      <c r="B1332">
        <f>IFERROR(VLOOKUP(A1332,Grootboekschema!$A$1:$B$129,2,0), "")</f>
        <v/>
      </c>
    </row>
    <row r="1333">
      <c r="B1333">
        <f>IFERROR(VLOOKUP(A1333,Grootboekschema!$A$1:$B$129,2,0), "")</f>
        <v/>
      </c>
    </row>
    <row r="1334">
      <c r="B1334">
        <f>IFERROR(VLOOKUP(A1334,Grootboekschema!$A$1:$B$129,2,0), "")</f>
        <v/>
      </c>
    </row>
    <row r="1335">
      <c r="B1335">
        <f>IFERROR(VLOOKUP(A1335,Grootboekschema!$A$1:$B$129,2,0), "")</f>
        <v/>
      </c>
    </row>
    <row r="1336">
      <c r="B1336">
        <f>IFERROR(VLOOKUP(A1336,Grootboekschema!$A$1:$B$129,2,0), "")</f>
        <v/>
      </c>
    </row>
    <row r="1337">
      <c r="B1337">
        <f>IFERROR(VLOOKUP(A1337,Grootboekschema!$A$1:$B$129,2,0), "")</f>
        <v/>
      </c>
    </row>
    <row r="1338">
      <c r="B1338">
        <f>IFERROR(VLOOKUP(A1338,Grootboekschema!$A$1:$B$129,2,0), "")</f>
        <v/>
      </c>
    </row>
    <row r="1339">
      <c r="B1339">
        <f>IFERROR(VLOOKUP(A1339,Grootboekschema!$A$1:$B$129,2,0), "")</f>
        <v/>
      </c>
    </row>
    <row r="1340">
      <c r="B1340">
        <f>IFERROR(VLOOKUP(A1340,Grootboekschema!$A$1:$B$129,2,0), "")</f>
        <v/>
      </c>
    </row>
    <row r="1341">
      <c r="B1341">
        <f>IFERROR(VLOOKUP(A1341,Grootboekschema!$A$1:$B$129,2,0), "")</f>
        <v/>
      </c>
    </row>
    <row r="1342">
      <c r="B1342">
        <f>IFERROR(VLOOKUP(A1342,Grootboekschema!$A$1:$B$129,2,0), "")</f>
        <v/>
      </c>
    </row>
    <row r="1343">
      <c r="B1343">
        <f>IFERROR(VLOOKUP(A1343,Grootboekschema!$A$1:$B$129,2,0), "")</f>
        <v/>
      </c>
    </row>
    <row r="1344">
      <c r="B1344">
        <f>IFERROR(VLOOKUP(A1344,Grootboekschema!$A$1:$B$129,2,0), "")</f>
        <v/>
      </c>
    </row>
    <row r="1345">
      <c r="B1345">
        <f>IFERROR(VLOOKUP(A1345,Grootboekschema!$A$1:$B$129,2,0), "")</f>
        <v/>
      </c>
    </row>
    <row r="1346">
      <c r="B1346">
        <f>IFERROR(VLOOKUP(A1346,Grootboekschema!$A$1:$B$129,2,0), "")</f>
        <v/>
      </c>
    </row>
    <row r="1347">
      <c r="B1347">
        <f>IFERROR(VLOOKUP(A1347,Grootboekschema!$A$1:$B$129,2,0), "")</f>
        <v/>
      </c>
    </row>
    <row r="1348">
      <c r="B1348">
        <f>IFERROR(VLOOKUP(A1348,Grootboekschema!$A$1:$B$129,2,0), "")</f>
        <v/>
      </c>
    </row>
    <row r="1349">
      <c r="B1349">
        <f>IFERROR(VLOOKUP(A1349,Grootboekschema!$A$1:$B$129,2,0), "")</f>
        <v/>
      </c>
    </row>
    <row r="1350">
      <c r="B1350">
        <f>IFERROR(VLOOKUP(A1350,Grootboekschema!$A$1:$B$129,2,0), "")</f>
        <v/>
      </c>
    </row>
    <row r="1351">
      <c r="B1351">
        <f>IFERROR(VLOOKUP(A1351,Grootboekschema!$A$1:$B$129,2,0), "")</f>
        <v/>
      </c>
    </row>
    <row r="1352">
      <c r="B1352">
        <f>IFERROR(VLOOKUP(A1352,Grootboekschema!$A$1:$B$129,2,0), "")</f>
        <v/>
      </c>
    </row>
    <row r="1353">
      <c r="B1353">
        <f>IFERROR(VLOOKUP(A1353,Grootboekschema!$A$1:$B$129,2,0), "")</f>
        <v/>
      </c>
    </row>
    <row r="1354">
      <c r="B1354">
        <f>IFERROR(VLOOKUP(A1354,Grootboekschema!$A$1:$B$129,2,0), "")</f>
        <v/>
      </c>
    </row>
    <row r="1355">
      <c r="B1355">
        <f>IFERROR(VLOOKUP(A1355,Grootboekschema!$A$1:$B$129,2,0), "")</f>
        <v/>
      </c>
    </row>
    <row r="1356">
      <c r="B1356">
        <f>IFERROR(VLOOKUP(A1356,Grootboekschema!$A$1:$B$129,2,0), "")</f>
        <v/>
      </c>
    </row>
    <row r="1357">
      <c r="B1357">
        <f>IFERROR(VLOOKUP(A1357,Grootboekschema!$A$1:$B$129,2,0), "")</f>
        <v/>
      </c>
    </row>
    <row r="1358">
      <c r="B1358">
        <f>IFERROR(VLOOKUP(A1358,Grootboekschema!$A$1:$B$129,2,0), "")</f>
        <v/>
      </c>
    </row>
    <row r="1359">
      <c r="B1359">
        <f>IFERROR(VLOOKUP(A1359,Grootboekschema!$A$1:$B$129,2,0), "")</f>
        <v/>
      </c>
    </row>
    <row r="1360">
      <c r="B1360">
        <f>IFERROR(VLOOKUP(A1360,Grootboekschema!$A$1:$B$129,2,0), "")</f>
        <v/>
      </c>
    </row>
    <row r="1361">
      <c r="B1361">
        <f>IFERROR(VLOOKUP(A1361,Grootboekschema!$A$1:$B$129,2,0), "")</f>
        <v/>
      </c>
    </row>
    <row r="1362">
      <c r="B1362">
        <f>IFERROR(VLOOKUP(A1362,Grootboekschema!$A$1:$B$129,2,0), "")</f>
        <v/>
      </c>
    </row>
    <row r="1363">
      <c r="B1363">
        <f>IFERROR(VLOOKUP(A1363,Grootboekschema!$A$1:$B$129,2,0), "")</f>
        <v/>
      </c>
    </row>
    <row r="1364">
      <c r="B1364">
        <f>IFERROR(VLOOKUP(A1364,Grootboekschema!$A$1:$B$129,2,0), "")</f>
        <v/>
      </c>
    </row>
    <row r="1365">
      <c r="B1365">
        <f>IFERROR(VLOOKUP(A1365,Grootboekschema!$A$1:$B$129,2,0), "")</f>
        <v/>
      </c>
    </row>
    <row r="1366">
      <c r="B1366">
        <f>IFERROR(VLOOKUP(A1366,Grootboekschema!$A$1:$B$129,2,0), "")</f>
        <v/>
      </c>
    </row>
    <row r="1367">
      <c r="B1367">
        <f>IFERROR(VLOOKUP(A1367,Grootboekschema!$A$1:$B$129,2,0), "")</f>
        <v/>
      </c>
    </row>
    <row r="1368">
      <c r="B1368">
        <f>IFERROR(VLOOKUP(A1368,Grootboekschema!$A$1:$B$129,2,0), "")</f>
        <v/>
      </c>
    </row>
    <row r="1369">
      <c r="B1369">
        <f>IFERROR(VLOOKUP(A1369,Grootboekschema!$A$1:$B$129,2,0), "")</f>
        <v/>
      </c>
    </row>
    <row r="1370">
      <c r="B1370">
        <f>IFERROR(VLOOKUP(A1370,Grootboekschema!$A$1:$B$129,2,0), "")</f>
        <v/>
      </c>
    </row>
    <row r="1371">
      <c r="B1371">
        <f>IFERROR(VLOOKUP(A1371,Grootboekschema!$A$1:$B$129,2,0), "")</f>
        <v/>
      </c>
    </row>
    <row r="1372">
      <c r="B1372">
        <f>IFERROR(VLOOKUP(A1372,Grootboekschema!$A$1:$B$129,2,0), "")</f>
        <v/>
      </c>
    </row>
    <row r="1373">
      <c r="B1373">
        <f>IFERROR(VLOOKUP(A1373,Grootboekschema!$A$1:$B$129,2,0), "")</f>
        <v/>
      </c>
    </row>
    <row r="1374">
      <c r="B1374">
        <f>IFERROR(VLOOKUP(A1374,Grootboekschema!$A$1:$B$129,2,0), "")</f>
        <v/>
      </c>
    </row>
    <row r="1375">
      <c r="B1375">
        <f>IFERROR(VLOOKUP(A1375,Grootboekschema!$A$1:$B$129,2,0), "")</f>
        <v/>
      </c>
    </row>
    <row r="1376">
      <c r="B1376">
        <f>IFERROR(VLOOKUP(A1376,Grootboekschema!$A$1:$B$129,2,0), "")</f>
        <v/>
      </c>
    </row>
    <row r="1377">
      <c r="B1377">
        <f>IFERROR(VLOOKUP(A1377,Grootboekschema!$A$1:$B$129,2,0), "")</f>
        <v/>
      </c>
    </row>
    <row r="1378">
      <c r="B1378">
        <f>IFERROR(VLOOKUP(A1378,Grootboekschema!$A$1:$B$129,2,0), "")</f>
        <v/>
      </c>
    </row>
    <row r="1379">
      <c r="B1379">
        <f>IFERROR(VLOOKUP(A1379,Grootboekschema!$A$1:$B$129,2,0), "")</f>
        <v/>
      </c>
    </row>
    <row r="1380">
      <c r="B1380">
        <f>IFERROR(VLOOKUP(A1380,Grootboekschema!$A$1:$B$129,2,0), "")</f>
        <v/>
      </c>
    </row>
    <row r="1381">
      <c r="B1381">
        <f>IFERROR(VLOOKUP(A1381,Grootboekschema!$A$1:$B$129,2,0), "")</f>
        <v/>
      </c>
    </row>
    <row r="1382">
      <c r="B1382">
        <f>IFERROR(VLOOKUP(A1382,Grootboekschema!$A$1:$B$129,2,0), "")</f>
        <v/>
      </c>
    </row>
    <row r="1383">
      <c r="B1383">
        <f>IFERROR(VLOOKUP(A1383,Grootboekschema!$A$1:$B$129,2,0), "")</f>
        <v/>
      </c>
    </row>
    <row r="1384">
      <c r="B1384">
        <f>IFERROR(VLOOKUP(A1384,Grootboekschema!$A$1:$B$129,2,0), "")</f>
        <v/>
      </c>
    </row>
    <row r="1385">
      <c r="B1385">
        <f>IFERROR(VLOOKUP(A1385,Grootboekschema!$A$1:$B$129,2,0), "")</f>
        <v/>
      </c>
    </row>
    <row r="1386">
      <c r="B1386">
        <f>IFERROR(VLOOKUP(A1386,Grootboekschema!$A$1:$B$129,2,0), "")</f>
        <v/>
      </c>
    </row>
    <row r="1387">
      <c r="B1387">
        <f>IFERROR(VLOOKUP(A1387,Grootboekschema!$A$1:$B$129,2,0), "")</f>
        <v/>
      </c>
    </row>
    <row r="1388">
      <c r="B1388">
        <f>IFERROR(VLOOKUP(A1388,Grootboekschema!$A$1:$B$129,2,0), "")</f>
        <v/>
      </c>
    </row>
    <row r="1389">
      <c r="B1389">
        <f>IFERROR(VLOOKUP(A1389,Grootboekschema!$A$1:$B$129,2,0), "")</f>
        <v/>
      </c>
    </row>
    <row r="1390">
      <c r="B1390">
        <f>IFERROR(VLOOKUP(A1390,Grootboekschema!$A$1:$B$129,2,0), "")</f>
        <v/>
      </c>
    </row>
    <row r="1391">
      <c r="B1391">
        <f>IFERROR(VLOOKUP(A1391,Grootboekschema!$A$1:$B$129,2,0), "")</f>
        <v/>
      </c>
    </row>
    <row r="1392">
      <c r="B1392">
        <f>IFERROR(VLOOKUP(A1392,Grootboekschema!$A$1:$B$129,2,0), "")</f>
        <v/>
      </c>
    </row>
    <row r="1393">
      <c r="B1393">
        <f>IFERROR(VLOOKUP(A1393,Grootboekschema!$A$1:$B$129,2,0), "")</f>
        <v/>
      </c>
    </row>
    <row r="1394">
      <c r="B1394">
        <f>IFERROR(VLOOKUP(A1394,Grootboekschema!$A$1:$B$129,2,0), "")</f>
        <v/>
      </c>
    </row>
    <row r="1395">
      <c r="B1395">
        <f>IFERROR(VLOOKUP(A1395,Grootboekschema!$A$1:$B$129,2,0), "")</f>
        <v/>
      </c>
    </row>
    <row r="1396">
      <c r="B1396">
        <f>IFERROR(VLOOKUP(A1396,Grootboekschema!$A$1:$B$129,2,0), "")</f>
        <v/>
      </c>
    </row>
    <row r="1397">
      <c r="B1397">
        <f>IFERROR(VLOOKUP(A1397,Grootboekschema!$A$1:$B$129,2,0), "")</f>
        <v/>
      </c>
    </row>
    <row r="1398">
      <c r="B1398">
        <f>IFERROR(VLOOKUP(A1398,Grootboekschema!$A$1:$B$129,2,0), "")</f>
        <v/>
      </c>
    </row>
    <row r="1399">
      <c r="B1399">
        <f>IFERROR(VLOOKUP(A1399,Grootboekschema!$A$1:$B$129,2,0), "")</f>
        <v/>
      </c>
    </row>
    <row r="1400">
      <c r="B1400">
        <f>IFERROR(VLOOKUP(A1400,Grootboekschema!$A$1:$B$129,2,0), "")</f>
        <v/>
      </c>
    </row>
    <row r="1401">
      <c r="B1401">
        <f>IFERROR(VLOOKUP(A1401,Grootboekschema!$A$1:$B$129,2,0), "")</f>
        <v/>
      </c>
    </row>
    <row r="1402">
      <c r="B1402">
        <f>IFERROR(VLOOKUP(A1402,Grootboekschema!$A$1:$B$129,2,0), "")</f>
        <v/>
      </c>
    </row>
    <row r="1403">
      <c r="B1403">
        <f>IFERROR(VLOOKUP(A1403,Grootboekschema!$A$1:$B$129,2,0), "")</f>
        <v/>
      </c>
    </row>
    <row r="1404">
      <c r="B1404">
        <f>IFERROR(VLOOKUP(A1404,Grootboekschema!$A$1:$B$129,2,0), "")</f>
        <v/>
      </c>
    </row>
    <row r="1405">
      <c r="B1405">
        <f>IFERROR(VLOOKUP(A1405,Grootboekschema!$A$1:$B$129,2,0), "")</f>
        <v/>
      </c>
    </row>
    <row r="1406">
      <c r="B1406">
        <f>IFERROR(VLOOKUP(A1406,Grootboekschema!$A$1:$B$129,2,0), "")</f>
        <v/>
      </c>
    </row>
    <row r="1407">
      <c r="B1407">
        <f>IFERROR(VLOOKUP(A1407,Grootboekschema!$A$1:$B$129,2,0), "")</f>
        <v/>
      </c>
    </row>
    <row r="1408">
      <c r="B1408">
        <f>IFERROR(VLOOKUP(A1408,Grootboekschema!$A$1:$B$129,2,0), "")</f>
        <v/>
      </c>
    </row>
    <row r="1409">
      <c r="B1409">
        <f>IFERROR(VLOOKUP(A1409,Grootboekschema!$A$1:$B$129,2,0), "")</f>
        <v/>
      </c>
    </row>
    <row r="1410">
      <c r="B1410">
        <f>IFERROR(VLOOKUP(A1410,Grootboekschema!$A$1:$B$129,2,0), "")</f>
        <v/>
      </c>
    </row>
    <row r="1411">
      <c r="B1411">
        <f>IFERROR(VLOOKUP(A1411,Grootboekschema!$A$1:$B$129,2,0), "")</f>
        <v/>
      </c>
    </row>
    <row r="1412">
      <c r="B1412">
        <f>IFERROR(VLOOKUP(A1412,Grootboekschema!$A$1:$B$129,2,0), "")</f>
        <v/>
      </c>
    </row>
    <row r="1413">
      <c r="B1413">
        <f>IFERROR(VLOOKUP(A1413,Grootboekschema!$A$1:$B$129,2,0), "")</f>
        <v/>
      </c>
    </row>
    <row r="1414">
      <c r="B1414">
        <f>IFERROR(VLOOKUP(A1414,Grootboekschema!$A$1:$B$129,2,0), "")</f>
        <v/>
      </c>
    </row>
    <row r="1415">
      <c r="B1415">
        <f>IFERROR(VLOOKUP(A1415,Grootboekschema!$A$1:$B$129,2,0), "")</f>
        <v/>
      </c>
    </row>
    <row r="1416">
      <c r="B1416">
        <f>IFERROR(VLOOKUP(A1416,Grootboekschema!$A$1:$B$129,2,0), "")</f>
        <v/>
      </c>
    </row>
    <row r="1417">
      <c r="B1417">
        <f>IFERROR(VLOOKUP(A1417,Grootboekschema!$A$1:$B$129,2,0), "")</f>
        <v/>
      </c>
    </row>
    <row r="1418">
      <c r="B1418">
        <f>IFERROR(VLOOKUP(A1418,Grootboekschema!$A$1:$B$129,2,0), "")</f>
        <v/>
      </c>
    </row>
    <row r="1419">
      <c r="B1419">
        <f>IFERROR(VLOOKUP(A1419,Grootboekschema!$A$1:$B$129,2,0), "")</f>
        <v/>
      </c>
    </row>
    <row r="1420">
      <c r="B1420">
        <f>IFERROR(VLOOKUP(A1420,Grootboekschema!$A$1:$B$129,2,0), "")</f>
        <v/>
      </c>
    </row>
    <row r="1421">
      <c r="B1421">
        <f>IFERROR(VLOOKUP(A1421,Grootboekschema!$A$1:$B$129,2,0), "")</f>
        <v/>
      </c>
    </row>
    <row r="1422">
      <c r="B1422">
        <f>IFERROR(VLOOKUP(A1422,Grootboekschema!$A$1:$B$129,2,0), "")</f>
        <v/>
      </c>
    </row>
    <row r="1423">
      <c r="B1423">
        <f>IFERROR(VLOOKUP(A1423,Grootboekschema!$A$1:$B$129,2,0), "")</f>
        <v/>
      </c>
    </row>
    <row r="1424">
      <c r="B1424">
        <f>IFERROR(VLOOKUP(A1424,Grootboekschema!$A$1:$B$129,2,0), "")</f>
        <v/>
      </c>
    </row>
    <row r="1425">
      <c r="B1425">
        <f>IFERROR(VLOOKUP(A1425,Grootboekschema!$A$1:$B$129,2,0), "")</f>
        <v/>
      </c>
    </row>
    <row r="1426">
      <c r="B1426">
        <f>IFERROR(VLOOKUP(A1426,Grootboekschema!$A$1:$B$129,2,0), "")</f>
        <v/>
      </c>
    </row>
    <row r="1427">
      <c r="B1427">
        <f>IFERROR(VLOOKUP(A1427,Grootboekschema!$A$1:$B$129,2,0), "")</f>
        <v/>
      </c>
    </row>
    <row r="1428">
      <c r="B1428">
        <f>IFERROR(VLOOKUP(A1428,Grootboekschema!$A$1:$B$129,2,0), "")</f>
        <v/>
      </c>
    </row>
    <row r="1429">
      <c r="B1429">
        <f>IFERROR(VLOOKUP(A1429,Grootboekschema!$A$1:$B$129,2,0), "")</f>
        <v/>
      </c>
    </row>
    <row r="1430">
      <c r="B1430">
        <f>IFERROR(VLOOKUP(A1430,Grootboekschema!$A$1:$B$129,2,0), "")</f>
        <v/>
      </c>
    </row>
    <row r="1431">
      <c r="B1431">
        <f>IFERROR(VLOOKUP(A1431,Grootboekschema!$A$1:$B$129,2,0), "")</f>
        <v/>
      </c>
    </row>
    <row r="1432">
      <c r="B1432">
        <f>IFERROR(VLOOKUP(A1432,Grootboekschema!$A$1:$B$129,2,0), "")</f>
        <v/>
      </c>
    </row>
    <row r="1433">
      <c r="B1433">
        <f>IFERROR(VLOOKUP(A1433,Grootboekschema!$A$1:$B$129,2,0), "")</f>
        <v/>
      </c>
    </row>
    <row r="1434">
      <c r="B1434">
        <f>IFERROR(VLOOKUP(A1434,Grootboekschema!$A$1:$B$129,2,0), "")</f>
        <v/>
      </c>
    </row>
    <row r="1435">
      <c r="B1435">
        <f>IFERROR(VLOOKUP(A1435,Grootboekschema!$A$1:$B$129,2,0), "")</f>
        <v/>
      </c>
    </row>
    <row r="1436">
      <c r="B1436">
        <f>IFERROR(VLOOKUP(A1436,Grootboekschema!$A$1:$B$129,2,0), "")</f>
        <v/>
      </c>
    </row>
    <row r="1437">
      <c r="B1437">
        <f>IFERROR(VLOOKUP(A1437,Grootboekschema!$A$1:$B$129,2,0), "")</f>
        <v/>
      </c>
    </row>
    <row r="1438">
      <c r="B1438">
        <f>IFERROR(VLOOKUP(A1438,Grootboekschema!$A$1:$B$129,2,0), "")</f>
        <v/>
      </c>
    </row>
    <row r="1439">
      <c r="B1439">
        <f>IFERROR(VLOOKUP(A1439,Grootboekschema!$A$1:$B$129,2,0), "")</f>
        <v/>
      </c>
    </row>
    <row r="1440">
      <c r="B1440">
        <f>IFERROR(VLOOKUP(A1440,Grootboekschema!$A$1:$B$129,2,0), "")</f>
        <v/>
      </c>
    </row>
    <row r="1441">
      <c r="B1441">
        <f>IFERROR(VLOOKUP(A1441,Grootboekschema!$A$1:$B$129,2,0), "")</f>
        <v/>
      </c>
    </row>
    <row r="1442">
      <c r="B1442">
        <f>IFERROR(VLOOKUP(A1442,Grootboekschema!$A$1:$B$129,2,0), "")</f>
        <v/>
      </c>
    </row>
    <row r="1443">
      <c r="B1443">
        <f>IFERROR(VLOOKUP(A1443,Grootboekschema!$A$1:$B$129,2,0), "")</f>
        <v/>
      </c>
    </row>
    <row r="1444">
      <c r="B1444">
        <f>IFERROR(VLOOKUP(A1444,Grootboekschema!$A$1:$B$129,2,0), "")</f>
        <v/>
      </c>
    </row>
    <row r="1445">
      <c r="B1445">
        <f>IFERROR(VLOOKUP(A1445,Grootboekschema!$A$1:$B$129,2,0), "")</f>
        <v/>
      </c>
    </row>
    <row r="1446">
      <c r="B1446">
        <f>IFERROR(VLOOKUP(A1446,Grootboekschema!$A$1:$B$129,2,0), "")</f>
        <v/>
      </c>
    </row>
    <row r="1447">
      <c r="B1447">
        <f>IFERROR(VLOOKUP(A1447,Grootboekschema!$A$1:$B$129,2,0), "")</f>
        <v/>
      </c>
    </row>
    <row r="1448">
      <c r="B1448">
        <f>IFERROR(VLOOKUP(A1448,Grootboekschema!$A$1:$B$129,2,0), "")</f>
        <v/>
      </c>
    </row>
    <row r="1449">
      <c r="B1449">
        <f>IFERROR(VLOOKUP(A1449,Grootboekschema!$A$1:$B$129,2,0), "")</f>
        <v/>
      </c>
    </row>
    <row r="1450">
      <c r="B1450">
        <f>IFERROR(VLOOKUP(A1450,Grootboekschema!$A$1:$B$129,2,0), "")</f>
        <v/>
      </c>
    </row>
    <row r="1451">
      <c r="B1451">
        <f>IFERROR(VLOOKUP(A1451,Grootboekschema!$A$1:$B$129,2,0), "")</f>
        <v/>
      </c>
    </row>
    <row r="1452">
      <c r="B1452">
        <f>IFERROR(VLOOKUP(A1452,Grootboekschema!$A$1:$B$129,2,0), "")</f>
        <v/>
      </c>
    </row>
    <row r="1453">
      <c r="B1453">
        <f>IFERROR(VLOOKUP(A1453,Grootboekschema!$A$1:$B$129,2,0), "")</f>
        <v/>
      </c>
    </row>
    <row r="1454">
      <c r="B1454">
        <f>IFERROR(VLOOKUP(A1454,Grootboekschema!$A$1:$B$129,2,0), "")</f>
        <v/>
      </c>
    </row>
    <row r="1455">
      <c r="B1455">
        <f>IFERROR(VLOOKUP(A1455,Grootboekschema!$A$1:$B$129,2,0), "")</f>
        <v/>
      </c>
    </row>
    <row r="1456">
      <c r="B1456">
        <f>IFERROR(VLOOKUP(A1456,Grootboekschema!$A$1:$B$129,2,0), "")</f>
        <v/>
      </c>
    </row>
    <row r="1457">
      <c r="B1457">
        <f>IFERROR(VLOOKUP(A1457,Grootboekschema!$A$1:$B$129,2,0), "")</f>
        <v/>
      </c>
    </row>
    <row r="1458">
      <c r="B1458">
        <f>IFERROR(VLOOKUP(A1458,Grootboekschema!$A$1:$B$129,2,0), "")</f>
        <v/>
      </c>
    </row>
    <row r="1459">
      <c r="B1459">
        <f>IFERROR(VLOOKUP(A1459,Grootboekschema!$A$1:$B$129,2,0), "")</f>
        <v/>
      </c>
    </row>
    <row r="1460">
      <c r="B1460">
        <f>IFERROR(VLOOKUP(A1460,Grootboekschema!$A$1:$B$129,2,0), "")</f>
        <v/>
      </c>
    </row>
    <row r="1461">
      <c r="B1461">
        <f>IFERROR(VLOOKUP(A1461,Grootboekschema!$A$1:$B$129,2,0), "")</f>
        <v/>
      </c>
    </row>
    <row r="1462">
      <c r="B1462">
        <f>IFERROR(VLOOKUP(A1462,Grootboekschema!$A$1:$B$129,2,0), "")</f>
        <v/>
      </c>
    </row>
    <row r="1463">
      <c r="B1463">
        <f>IFERROR(VLOOKUP(A1463,Grootboekschema!$A$1:$B$129,2,0), "")</f>
        <v/>
      </c>
    </row>
    <row r="1464">
      <c r="B1464">
        <f>IFERROR(VLOOKUP(A1464,Grootboekschema!$A$1:$B$129,2,0), "")</f>
        <v/>
      </c>
    </row>
    <row r="1465">
      <c r="B1465">
        <f>IFERROR(VLOOKUP(A1465,Grootboekschema!$A$1:$B$129,2,0), "")</f>
        <v/>
      </c>
    </row>
    <row r="1466">
      <c r="B1466">
        <f>IFERROR(VLOOKUP(A1466,Grootboekschema!$A$1:$B$129,2,0), "")</f>
        <v/>
      </c>
    </row>
    <row r="1467">
      <c r="B1467">
        <f>IFERROR(VLOOKUP(A1467,Grootboekschema!$A$1:$B$129,2,0), "")</f>
        <v/>
      </c>
    </row>
    <row r="1468">
      <c r="B1468">
        <f>IFERROR(VLOOKUP(A1468,Grootboekschema!$A$1:$B$129,2,0), "")</f>
        <v/>
      </c>
    </row>
    <row r="1469">
      <c r="B1469">
        <f>IFERROR(VLOOKUP(A1469,Grootboekschema!$A$1:$B$129,2,0), "")</f>
        <v/>
      </c>
    </row>
    <row r="1470">
      <c r="B1470">
        <f>IFERROR(VLOOKUP(A1470,Grootboekschema!$A$1:$B$129,2,0), "")</f>
        <v/>
      </c>
    </row>
    <row r="1471">
      <c r="B1471">
        <f>IFERROR(VLOOKUP(A1471,Grootboekschema!$A$1:$B$129,2,0), "")</f>
        <v/>
      </c>
    </row>
    <row r="1472">
      <c r="B1472">
        <f>IFERROR(VLOOKUP(A1472,Grootboekschema!$A$1:$B$129,2,0), "")</f>
        <v/>
      </c>
    </row>
    <row r="1473">
      <c r="B1473">
        <f>IFERROR(VLOOKUP(A1473,Grootboekschema!$A$1:$B$129,2,0), "")</f>
        <v/>
      </c>
    </row>
    <row r="1474">
      <c r="B1474">
        <f>IFERROR(VLOOKUP(A1474,Grootboekschema!$A$1:$B$129,2,0), "")</f>
        <v/>
      </c>
    </row>
    <row r="1475">
      <c r="B1475">
        <f>IFERROR(VLOOKUP(A1475,Grootboekschema!$A$1:$B$129,2,0), "")</f>
        <v/>
      </c>
    </row>
    <row r="1476">
      <c r="B1476">
        <f>IFERROR(VLOOKUP(A1476,Grootboekschema!$A$1:$B$129,2,0), "")</f>
        <v/>
      </c>
    </row>
    <row r="1477">
      <c r="B1477">
        <f>IFERROR(VLOOKUP(A1477,Grootboekschema!$A$1:$B$129,2,0), "")</f>
        <v/>
      </c>
    </row>
    <row r="1478">
      <c r="B1478">
        <f>IFERROR(VLOOKUP(A1478,Grootboekschema!$A$1:$B$129,2,0), "")</f>
        <v/>
      </c>
    </row>
    <row r="1479">
      <c r="B1479">
        <f>IFERROR(VLOOKUP(A1479,Grootboekschema!$A$1:$B$129,2,0), "")</f>
        <v/>
      </c>
    </row>
    <row r="1480">
      <c r="B1480">
        <f>IFERROR(VLOOKUP(A1480,Grootboekschema!$A$1:$B$129,2,0), "")</f>
        <v/>
      </c>
    </row>
    <row r="1481">
      <c r="B1481">
        <f>IFERROR(VLOOKUP(A1481,Grootboekschema!$A$1:$B$129,2,0), "")</f>
        <v/>
      </c>
    </row>
    <row r="1482">
      <c r="B1482">
        <f>IFERROR(VLOOKUP(A1482,Grootboekschema!$A$1:$B$129,2,0), "")</f>
        <v/>
      </c>
    </row>
    <row r="1483">
      <c r="B1483">
        <f>IFERROR(VLOOKUP(A1483,Grootboekschema!$A$1:$B$129,2,0), "")</f>
        <v/>
      </c>
    </row>
    <row r="1484">
      <c r="B1484">
        <f>IFERROR(VLOOKUP(A1484,Grootboekschema!$A$1:$B$129,2,0), "")</f>
        <v/>
      </c>
    </row>
    <row r="1485">
      <c r="B1485">
        <f>IFERROR(VLOOKUP(A1485,Grootboekschema!$A$1:$B$129,2,0), "")</f>
        <v/>
      </c>
    </row>
    <row r="1486">
      <c r="B1486">
        <f>IFERROR(VLOOKUP(A1486,Grootboekschema!$A$1:$B$129,2,0), "")</f>
        <v/>
      </c>
    </row>
    <row r="1487">
      <c r="B1487">
        <f>IFERROR(VLOOKUP(A1487,Grootboekschema!$A$1:$B$129,2,0), "")</f>
        <v/>
      </c>
    </row>
    <row r="1488">
      <c r="B1488">
        <f>IFERROR(VLOOKUP(A1488,Grootboekschema!$A$1:$B$129,2,0), "")</f>
        <v/>
      </c>
    </row>
    <row r="1489">
      <c r="B1489">
        <f>IFERROR(VLOOKUP(A1489,Grootboekschema!$A$1:$B$129,2,0), "")</f>
        <v/>
      </c>
    </row>
    <row r="1490">
      <c r="B1490">
        <f>IFERROR(VLOOKUP(A1490,Grootboekschema!$A$1:$B$129,2,0), "")</f>
        <v/>
      </c>
    </row>
    <row r="1491">
      <c r="B1491">
        <f>IFERROR(VLOOKUP(A1491,Grootboekschema!$A$1:$B$129,2,0), "")</f>
        <v/>
      </c>
    </row>
    <row r="1492">
      <c r="B1492">
        <f>IFERROR(VLOOKUP(A1492,Grootboekschema!$A$1:$B$129,2,0), "")</f>
        <v/>
      </c>
    </row>
    <row r="1493">
      <c r="B1493">
        <f>IFERROR(VLOOKUP(A1493,Grootboekschema!$A$1:$B$129,2,0), "")</f>
        <v/>
      </c>
    </row>
    <row r="1494">
      <c r="B1494">
        <f>IFERROR(VLOOKUP(A1494,Grootboekschema!$A$1:$B$129,2,0), "")</f>
        <v/>
      </c>
    </row>
    <row r="1495">
      <c r="B1495">
        <f>IFERROR(VLOOKUP(A1495,Grootboekschema!$A$1:$B$129,2,0), "")</f>
        <v/>
      </c>
    </row>
    <row r="1496">
      <c r="B1496">
        <f>IFERROR(VLOOKUP(A1496,Grootboekschema!$A$1:$B$129,2,0), "")</f>
        <v/>
      </c>
    </row>
    <row r="1497">
      <c r="B1497">
        <f>IFERROR(VLOOKUP(A1497,Grootboekschema!$A$1:$B$129,2,0), "")</f>
        <v/>
      </c>
    </row>
    <row r="1498">
      <c r="B1498">
        <f>IFERROR(VLOOKUP(A1498,Grootboekschema!$A$1:$B$129,2,0), "")</f>
        <v/>
      </c>
    </row>
    <row r="1499">
      <c r="B1499">
        <f>IFERROR(VLOOKUP(A1499,Grootboekschema!$A$1:$B$129,2,0), "")</f>
        <v/>
      </c>
    </row>
    <row r="1500">
      <c r="B1500">
        <f>IFERROR(VLOOKUP(A1500,Grootboekschema!$A$1:$B$129,2,0), "")</f>
        <v/>
      </c>
    </row>
    <row r="1501">
      <c r="B1501">
        <f>IFERROR(VLOOKUP(A1501,Grootboekschema!$A$1:$B$129,2,0), "")</f>
        <v/>
      </c>
    </row>
    <row r="1502">
      <c r="B1502">
        <f>IFERROR(VLOOKUP(A1502,Grootboekschema!$A$1:$B$129,2,0), "")</f>
        <v/>
      </c>
    </row>
    <row r="1503">
      <c r="B1503">
        <f>IFERROR(VLOOKUP(A1503,Grootboekschema!$A$1:$B$129,2,0), "")</f>
        <v/>
      </c>
    </row>
    <row r="1504">
      <c r="B1504">
        <f>IFERROR(VLOOKUP(A1504,Grootboekschema!$A$1:$B$129,2,0), "")</f>
        <v/>
      </c>
    </row>
    <row r="1505">
      <c r="B1505">
        <f>IFERROR(VLOOKUP(A1505,Grootboekschema!$A$1:$B$129,2,0), "")</f>
        <v/>
      </c>
    </row>
    <row r="1506">
      <c r="B1506">
        <f>IFERROR(VLOOKUP(A1506,Grootboekschema!$A$1:$B$129,2,0), "")</f>
        <v/>
      </c>
    </row>
    <row r="1507">
      <c r="B1507">
        <f>IFERROR(VLOOKUP(A1507,Grootboekschema!$A$1:$B$129,2,0), "")</f>
        <v/>
      </c>
    </row>
    <row r="1508">
      <c r="B1508">
        <f>IFERROR(VLOOKUP(A1508,Grootboekschema!$A$1:$B$129,2,0), "")</f>
        <v/>
      </c>
    </row>
    <row r="1509">
      <c r="B1509">
        <f>IFERROR(VLOOKUP(A1509,Grootboekschema!$A$1:$B$129,2,0), "")</f>
        <v/>
      </c>
    </row>
    <row r="1510">
      <c r="B1510">
        <f>IFERROR(VLOOKUP(A1510,Grootboekschema!$A$1:$B$129,2,0), "")</f>
        <v/>
      </c>
    </row>
    <row r="1511">
      <c r="B1511">
        <f>IFERROR(VLOOKUP(A1511,Grootboekschema!$A$1:$B$129,2,0), "")</f>
        <v/>
      </c>
    </row>
    <row r="1512">
      <c r="B1512">
        <f>IFERROR(VLOOKUP(A1512,Grootboekschema!$A$1:$B$129,2,0), "")</f>
        <v/>
      </c>
    </row>
    <row r="1513">
      <c r="B1513">
        <f>IFERROR(VLOOKUP(A1513,Grootboekschema!$A$1:$B$129,2,0), "")</f>
        <v/>
      </c>
    </row>
    <row r="1514">
      <c r="B1514">
        <f>IFERROR(VLOOKUP(A1514,Grootboekschema!$A$1:$B$129,2,0), "")</f>
        <v/>
      </c>
    </row>
    <row r="1515">
      <c r="B1515">
        <f>IFERROR(VLOOKUP(A1515,Grootboekschema!$A$1:$B$129,2,0), "")</f>
        <v/>
      </c>
    </row>
    <row r="1516">
      <c r="B1516">
        <f>IFERROR(VLOOKUP(A1516,Grootboekschema!$A$1:$B$129,2,0), "")</f>
        <v/>
      </c>
    </row>
    <row r="1517">
      <c r="B1517">
        <f>IFERROR(VLOOKUP(A1517,Grootboekschema!$A$1:$B$129,2,0), "")</f>
        <v/>
      </c>
    </row>
    <row r="1518">
      <c r="B1518">
        <f>IFERROR(VLOOKUP(A1518,Grootboekschema!$A$1:$B$129,2,0), "")</f>
        <v/>
      </c>
    </row>
    <row r="1519">
      <c r="B1519">
        <f>IFERROR(VLOOKUP(A1519,Grootboekschema!$A$1:$B$129,2,0), "")</f>
        <v/>
      </c>
    </row>
    <row r="1520">
      <c r="B1520">
        <f>IFERROR(VLOOKUP(A1520,Grootboekschema!$A$1:$B$129,2,0), "")</f>
        <v/>
      </c>
    </row>
    <row r="1521">
      <c r="B1521">
        <f>IFERROR(VLOOKUP(A1521,Grootboekschema!$A$1:$B$129,2,0), "")</f>
        <v/>
      </c>
    </row>
    <row r="1522">
      <c r="B1522">
        <f>IFERROR(VLOOKUP(A1522,Grootboekschema!$A$1:$B$129,2,0), "")</f>
        <v/>
      </c>
    </row>
    <row r="1523">
      <c r="B1523">
        <f>IFERROR(VLOOKUP(A1523,Grootboekschema!$A$1:$B$129,2,0), "")</f>
        <v/>
      </c>
    </row>
    <row r="1524">
      <c r="B1524">
        <f>IFERROR(VLOOKUP(A1524,Grootboekschema!$A$1:$B$129,2,0), "")</f>
        <v/>
      </c>
    </row>
    <row r="1525">
      <c r="B1525">
        <f>IFERROR(VLOOKUP(A1525,Grootboekschema!$A$1:$B$129,2,0), "")</f>
        <v/>
      </c>
    </row>
    <row r="1526">
      <c r="B1526">
        <f>IFERROR(VLOOKUP(A1526,Grootboekschema!$A$1:$B$129,2,0), "")</f>
        <v/>
      </c>
    </row>
    <row r="1527">
      <c r="B1527">
        <f>IFERROR(VLOOKUP(A1527,Grootboekschema!$A$1:$B$129,2,0), "")</f>
        <v/>
      </c>
    </row>
    <row r="1528">
      <c r="B1528">
        <f>IFERROR(VLOOKUP(A1528,Grootboekschema!$A$1:$B$129,2,0), "")</f>
        <v/>
      </c>
    </row>
    <row r="1529">
      <c r="B1529">
        <f>IFERROR(VLOOKUP(A1529,Grootboekschema!$A$1:$B$129,2,0), "")</f>
        <v/>
      </c>
    </row>
    <row r="1530">
      <c r="B1530">
        <f>IFERROR(VLOOKUP(A1530,Grootboekschema!$A$1:$B$129,2,0), "")</f>
        <v/>
      </c>
    </row>
    <row r="1531">
      <c r="B1531">
        <f>IFERROR(VLOOKUP(A1531,Grootboekschema!$A$1:$B$129,2,0), "")</f>
        <v/>
      </c>
    </row>
    <row r="1532">
      <c r="B1532">
        <f>IFERROR(VLOOKUP(A1532,Grootboekschema!$A$1:$B$129,2,0), "")</f>
        <v/>
      </c>
    </row>
    <row r="1533">
      <c r="B1533">
        <f>IFERROR(VLOOKUP(A1533,Grootboekschema!$A$1:$B$129,2,0), "")</f>
        <v/>
      </c>
    </row>
    <row r="1534">
      <c r="B1534">
        <f>IFERROR(VLOOKUP(A1534,Grootboekschema!$A$1:$B$129,2,0), "")</f>
        <v/>
      </c>
    </row>
    <row r="1535">
      <c r="B1535">
        <f>IFERROR(VLOOKUP(A1535,Grootboekschema!$A$1:$B$129,2,0), "")</f>
        <v/>
      </c>
    </row>
    <row r="1536">
      <c r="B1536">
        <f>IFERROR(VLOOKUP(A1536,Grootboekschema!$A$1:$B$129,2,0), "")</f>
        <v/>
      </c>
    </row>
    <row r="1537">
      <c r="B1537">
        <f>IFERROR(VLOOKUP(A1537,Grootboekschema!$A$1:$B$129,2,0), "")</f>
        <v/>
      </c>
    </row>
    <row r="1538">
      <c r="B1538">
        <f>IFERROR(VLOOKUP(A1538,Grootboekschema!$A$1:$B$129,2,0), "")</f>
        <v/>
      </c>
    </row>
    <row r="1539">
      <c r="B1539">
        <f>IFERROR(VLOOKUP(A1539,Grootboekschema!$A$1:$B$129,2,0), "")</f>
        <v/>
      </c>
    </row>
    <row r="1540">
      <c r="B1540">
        <f>IFERROR(VLOOKUP(A1540,Grootboekschema!$A$1:$B$129,2,0), "")</f>
        <v/>
      </c>
    </row>
    <row r="1541">
      <c r="B1541">
        <f>IFERROR(VLOOKUP(A1541,Grootboekschema!$A$1:$B$129,2,0), "")</f>
        <v/>
      </c>
    </row>
    <row r="1542">
      <c r="B1542">
        <f>IFERROR(VLOOKUP(A1542,Grootboekschema!$A$1:$B$129,2,0), "")</f>
        <v/>
      </c>
    </row>
    <row r="1543">
      <c r="B1543">
        <f>IFERROR(VLOOKUP(A1543,Grootboekschema!$A$1:$B$129,2,0), "")</f>
        <v/>
      </c>
    </row>
    <row r="1544">
      <c r="B1544">
        <f>IFERROR(VLOOKUP(A1544,Grootboekschema!$A$1:$B$129,2,0), "")</f>
        <v/>
      </c>
    </row>
    <row r="1545">
      <c r="B1545">
        <f>IFERROR(VLOOKUP(A1545,Grootboekschema!$A$1:$B$129,2,0), "")</f>
        <v/>
      </c>
    </row>
    <row r="1546">
      <c r="B1546">
        <f>IFERROR(VLOOKUP(A1546,Grootboekschema!$A$1:$B$129,2,0), "")</f>
        <v/>
      </c>
    </row>
    <row r="1547">
      <c r="B1547">
        <f>IFERROR(VLOOKUP(A1547,Grootboekschema!$A$1:$B$129,2,0), "")</f>
        <v/>
      </c>
    </row>
    <row r="1548">
      <c r="B1548">
        <f>IFERROR(VLOOKUP(A1548,Grootboekschema!$A$1:$B$129,2,0), "")</f>
        <v/>
      </c>
    </row>
    <row r="1549">
      <c r="B1549">
        <f>IFERROR(VLOOKUP(A1549,Grootboekschema!$A$1:$B$129,2,0), "")</f>
        <v/>
      </c>
    </row>
    <row r="1550">
      <c r="B1550">
        <f>IFERROR(VLOOKUP(A1550,Grootboekschema!$A$1:$B$129,2,0), "")</f>
        <v/>
      </c>
    </row>
    <row r="1551">
      <c r="B1551">
        <f>IFERROR(VLOOKUP(A1551,Grootboekschema!$A$1:$B$129,2,0), "")</f>
        <v/>
      </c>
    </row>
    <row r="1552">
      <c r="B1552">
        <f>IFERROR(VLOOKUP(A1552,Grootboekschema!$A$1:$B$129,2,0), "")</f>
        <v/>
      </c>
    </row>
    <row r="1553">
      <c r="B1553">
        <f>IFERROR(VLOOKUP(A1553,Grootboekschema!$A$1:$B$129,2,0), "")</f>
        <v/>
      </c>
    </row>
    <row r="1554">
      <c r="B1554">
        <f>IFERROR(VLOOKUP(A1554,Grootboekschema!$A$1:$B$129,2,0), "")</f>
        <v/>
      </c>
    </row>
    <row r="1555">
      <c r="B1555">
        <f>IFERROR(VLOOKUP(A1555,Grootboekschema!$A$1:$B$129,2,0), "")</f>
        <v/>
      </c>
    </row>
    <row r="1556">
      <c r="B1556">
        <f>IFERROR(VLOOKUP(A1556,Grootboekschema!$A$1:$B$129,2,0), "")</f>
        <v/>
      </c>
    </row>
    <row r="1557">
      <c r="B1557">
        <f>IFERROR(VLOOKUP(A1557,Grootboekschema!$A$1:$B$129,2,0), "")</f>
        <v/>
      </c>
    </row>
    <row r="1558">
      <c r="B1558">
        <f>IFERROR(VLOOKUP(A1558,Grootboekschema!$A$1:$B$129,2,0), "")</f>
        <v/>
      </c>
    </row>
    <row r="1559">
      <c r="B1559">
        <f>IFERROR(VLOOKUP(A1559,Grootboekschema!$A$1:$B$129,2,0), "")</f>
        <v/>
      </c>
    </row>
    <row r="1560">
      <c r="B1560">
        <f>IFERROR(VLOOKUP(A1560,Grootboekschema!$A$1:$B$129,2,0), "")</f>
        <v/>
      </c>
    </row>
    <row r="1561">
      <c r="B1561">
        <f>IFERROR(VLOOKUP(A1561,Grootboekschema!$A$1:$B$129,2,0), "")</f>
        <v/>
      </c>
    </row>
    <row r="1562">
      <c r="B1562">
        <f>IFERROR(VLOOKUP(A1562,Grootboekschema!$A$1:$B$129,2,0), "")</f>
        <v/>
      </c>
    </row>
    <row r="1563">
      <c r="B1563">
        <f>IFERROR(VLOOKUP(A1563,Grootboekschema!$A$1:$B$129,2,0), "")</f>
        <v/>
      </c>
    </row>
    <row r="1564">
      <c r="B1564">
        <f>IFERROR(VLOOKUP(A1564,Grootboekschema!$A$1:$B$129,2,0), "")</f>
        <v/>
      </c>
    </row>
    <row r="1565">
      <c r="B1565">
        <f>IFERROR(VLOOKUP(A1565,Grootboekschema!$A$1:$B$129,2,0), "")</f>
        <v/>
      </c>
    </row>
    <row r="1566">
      <c r="B1566">
        <f>IFERROR(VLOOKUP(A1566,Grootboekschema!$A$1:$B$129,2,0), "")</f>
        <v/>
      </c>
    </row>
    <row r="1567">
      <c r="B1567">
        <f>IFERROR(VLOOKUP(A1567,Grootboekschema!$A$1:$B$129,2,0), "")</f>
        <v/>
      </c>
    </row>
    <row r="1568">
      <c r="B1568">
        <f>IFERROR(VLOOKUP(A1568,Grootboekschema!$A$1:$B$129,2,0), "")</f>
        <v/>
      </c>
    </row>
    <row r="1569">
      <c r="B1569">
        <f>IFERROR(VLOOKUP(A1569,Grootboekschema!$A$1:$B$129,2,0), "")</f>
        <v/>
      </c>
    </row>
    <row r="1570">
      <c r="B1570">
        <f>IFERROR(VLOOKUP(A1570,Grootboekschema!$A$1:$B$129,2,0), "")</f>
        <v/>
      </c>
    </row>
    <row r="1571">
      <c r="B1571">
        <f>IFERROR(VLOOKUP(A1571,Grootboekschema!$A$1:$B$129,2,0), "")</f>
        <v/>
      </c>
    </row>
    <row r="1572">
      <c r="B1572">
        <f>IFERROR(VLOOKUP(A1572,Grootboekschema!$A$1:$B$129,2,0), "")</f>
        <v/>
      </c>
    </row>
    <row r="1573">
      <c r="B1573">
        <f>IFERROR(VLOOKUP(A1573,Grootboekschema!$A$1:$B$129,2,0), "")</f>
        <v/>
      </c>
    </row>
    <row r="1574">
      <c r="B1574">
        <f>IFERROR(VLOOKUP(A1574,Grootboekschema!$A$1:$B$129,2,0), "")</f>
        <v/>
      </c>
    </row>
    <row r="1575">
      <c r="B1575">
        <f>IFERROR(VLOOKUP(A1575,Grootboekschema!$A$1:$B$129,2,0), "")</f>
        <v/>
      </c>
    </row>
    <row r="1576">
      <c r="B1576">
        <f>IFERROR(VLOOKUP(A1576,Grootboekschema!$A$1:$B$129,2,0), "")</f>
        <v/>
      </c>
    </row>
    <row r="1577">
      <c r="B1577">
        <f>IFERROR(VLOOKUP(A1577,Grootboekschema!$A$1:$B$129,2,0), "")</f>
        <v/>
      </c>
    </row>
    <row r="1578">
      <c r="B1578">
        <f>IFERROR(VLOOKUP(A1578,Grootboekschema!$A$1:$B$129,2,0), "")</f>
        <v/>
      </c>
    </row>
    <row r="1579">
      <c r="B1579">
        <f>IFERROR(VLOOKUP(A1579,Grootboekschema!$A$1:$B$129,2,0), "")</f>
        <v/>
      </c>
    </row>
    <row r="1580">
      <c r="B1580">
        <f>IFERROR(VLOOKUP(A1580,Grootboekschema!$A$1:$B$129,2,0), "")</f>
        <v/>
      </c>
    </row>
    <row r="1581">
      <c r="B1581">
        <f>IFERROR(VLOOKUP(A1581,Grootboekschema!$A$1:$B$129,2,0), "")</f>
        <v/>
      </c>
    </row>
    <row r="1582">
      <c r="B1582">
        <f>IFERROR(VLOOKUP(A1582,Grootboekschema!$A$1:$B$129,2,0), "")</f>
        <v/>
      </c>
    </row>
    <row r="1583">
      <c r="B1583">
        <f>IFERROR(VLOOKUP(A1583,Grootboekschema!$A$1:$B$129,2,0), "")</f>
        <v/>
      </c>
    </row>
    <row r="1584">
      <c r="B1584">
        <f>IFERROR(VLOOKUP(A1584,Grootboekschema!$A$1:$B$129,2,0), "")</f>
        <v/>
      </c>
    </row>
    <row r="1585">
      <c r="B1585">
        <f>IFERROR(VLOOKUP(A1585,Grootboekschema!$A$1:$B$129,2,0), "")</f>
        <v/>
      </c>
    </row>
    <row r="1586">
      <c r="B1586">
        <f>IFERROR(VLOOKUP(A1586,Grootboekschema!$A$1:$B$129,2,0), "")</f>
        <v/>
      </c>
    </row>
    <row r="1587">
      <c r="B1587">
        <f>IFERROR(VLOOKUP(A1587,Grootboekschema!$A$1:$B$129,2,0), "")</f>
        <v/>
      </c>
    </row>
    <row r="1588">
      <c r="B1588">
        <f>IFERROR(VLOOKUP(A1588,Grootboekschema!$A$1:$B$129,2,0), "")</f>
        <v/>
      </c>
    </row>
    <row r="1589">
      <c r="B1589">
        <f>IFERROR(VLOOKUP(A1589,Grootboekschema!$A$1:$B$129,2,0), "")</f>
        <v/>
      </c>
    </row>
    <row r="1590">
      <c r="B1590">
        <f>IFERROR(VLOOKUP(A1590,Grootboekschema!$A$1:$B$129,2,0), "")</f>
        <v/>
      </c>
    </row>
    <row r="1591">
      <c r="B1591">
        <f>IFERROR(VLOOKUP(A1591,Grootboekschema!$A$1:$B$129,2,0), "")</f>
        <v/>
      </c>
    </row>
    <row r="1592">
      <c r="B1592">
        <f>IFERROR(VLOOKUP(A1592,Grootboekschema!$A$1:$B$129,2,0), "")</f>
        <v/>
      </c>
    </row>
    <row r="1593">
      <c r="B1593">
        <f>IFERROR(VLOOKUP(A1593,Grootboekschema!$A$1:$B$129,2,0), "")</f>
        <v/>
      </c>
    </row>
    <row r="1594">
      <c r="B1594">
        <f>IFERROR(VLOOKUP(A1594,Grootboekschema!$A$1:$B$129,2,0), "")</f>
        <v/>
      </c>
    </row>
    <row r="1595">
      <c r="B1595">
        <f>IFERROR(VLOOKUP(A1595,Grootboekschema!$A$1:$B$129,2,0), "")</f>
        <v/>
      </c>
    </row>
    <row r="1596">
      <c r="B1596">
        <f>IFERROR(VLOOKUP(A1596,Grootboekschema!$A$1:$B$129,2,0), "")</f>
        <v/>
      </c>
    </row>
    <row r="1597">
      <c r="B1597">
        <f>IFERROR(VLOOKUP(A1597,Grootboekschema!$A$1:$B$129,2,0), "")</f>
        <v/>
      </c>
    </row>
    <row r="1598">
      <c r="B1598">
        <f>IFERROR(VLOOKUP(A1598,Grootboekschema!$A$1:$B$129,2,0), "")</f>
        <v/>
      </c>
    </row>
    <row r="1599">
      <c r="B1599">
        <f>IFERROR(VLOOKUP(A1599,Grootboekschema!$A$1:$B$129,2,0), "")</f>
        <v/>
      </c>
    </row>
    <row r="1600">
      <c r="B1600">
        <f>IFERROR(VLOOKUP(A1600,Grootboekschema!$A$1:$B$129,2,0), "")</f>
        <v/>
      </c>
    </row>
    <row r="1601">
      <c r="B1601">
        <f>IFERROR(VLOOKUP(A1601,Grootboekschema!$A$1:$B$129,2,0), "")</f>
        <v/>
      </c>
    </row>
    <row r="1602">
      <c r="B1602">
        <f>IFERROR(VLOOKUP(A1602,Grootboekschema!$A$1:$B$129,2,0), "")</f>
        <v/>
      </c>
    </row>
    <row r="1603">
      <c r="B1603">
        <f>IFERROR(VLOOKUP(A1603,Grootboekschema!$A$1:$B$129,2,0), "")</f>
        <v/>
      </c>
    </row>
    <row r="1604">
      <c r="B1604">
        <f>IFERROR(VLOOKUP(A1604,Grootboekschema!$A$1:$B$129,2,0), "")</f>
        <v/>
      </c>
    </row>
    <row r="1605">
      <c r="B1605">
        <f>IFERROR(VLOOKUP(A1605,Grootboekschema!$A$1:$B$129,2,0), "")</f>
        <v/>
      </c>
    </row>
    <row r="1606">
      <c r="B1606">
        <f>IFERROR(VLOOKUP(A1606,Grootboekschema!$A$1:$B$129,2,0), "")</f>
        <v/>
      </c>
    </row>
    <row r="1607">
      <c r="B1607">
        <f>IFERROR(VLOOKUP(A1607,Grootboekschema!$A$1:$B$129,2,0), "")</f>
        <v/>
      </c>
    </row>
    <row r="1608">
      <c r="B1608">
        <f>IFERROR(VLOOKUP(A1608,Grootboekschema!$A$1:$B$129,2,0), "")</f>
        <v/>
      </c>
    </row>
    <row r="1609">
      <c r="B1609">
        <f>IFERROR(VLOOKUP(A1609,Grootboekschema!$A$1:$B$129,2,0), "")</f>
        <v/>
      </c>
    </row>
    <row r="1610">
      <c r="B1610">
        <f>IFERROR(VLOOKUP(A1610,Grootboekschema!$A$1:$B$129,2,0), "")</f>
        <v/>
      </c>
    </row>
    <row r="1611">
      <c r="B1611">
        <f>IFERROR(VLOOKUP(A1611,Grootboekschema!$A$1:$B$129,2,0), "")</f>
        <v/>
      </c>
    </row>
    <row r="1612">
      <c r="B1612">
        <f>IFERROR(VLOOKUP(A1612,Grootboekschema!$A$1:$B$129,2,0), "")</f>
        <v/>
      </c>
    </row>
    <row r="1613">
      <c r="B1613">
        <f>IFERROR(VLOOKUP(A1613,Grootboekschema!$A$1:$B$129,2,0), "")</f>
        <v/>
      </c>
    </row>
    <row r="1614">
      <c r="B1614">
        <f>IFERROR(VLOOKUP(A1614,Grootboekschema!$A$1:$B$129,2,0), "")</f>
        <v/>
      </c>
    </row>
    <row r="1615">
      <c r="B1615">
        <f>IFERROR(VLOOKUP(A1615,Grootboekschema!$A$1:$B$129,2,0), "")</f>
        <v/>
      </c>
    </row>
    <row r="1616">
      <c r="B1616">
        <f>IFERROR(VLOOKUP(A1616,Grootboekschema!$A$1:$B$129,2,0), "")</f>
        <v/>
      </c>
    </row>
    <row r="1617">
      <c r="B1617">
        <f>IFERROR(VLOOKUP(A1617,Grootboekschema!$A$1:$B$129,2,0), "")</f>
        <v/>
      </c>
    </row>
    <row r="1618">
      <c r="B1618">
        <f>IFERROR(VLOOKUP(A1618,Grootboekschema!$A$1:$B$129,2,0), "")</f>
        <v/>
      </c>
    </row>
    <row r="1619">
      <c r="B1619">
        <f>IFERROR(VLOOKUP(A1619,Grootboekschema!$A$1:$B$129,2,0), "")</f>
        <v/>
      </c>
    </row>
    <row r="1620">
      <c r="B1620">
        <f>IFERROR(VLOOKUP(A1620,Grootboekschema!$A$1:$B$129,2,0), "")</f>
        <v/>
      </c>
    </row>
    <row r="1621">
      <c r="B1621">
        <f>IFERROR(VLOOKUP(A1621,Grootboekschema!$A$1:$B$129,2,0), "")</f>
        <v/>
      </c>
    </row>
    <row r="1622">
      <c r="B1622">
        <f>IFERROR(VLOOKUP(A1622,Grootboekschema!$A$1:$B$129,2,0), "")</f>
        <v/>
      </c>
    </row>
    <row r="1623">
      <c r="B1623">
        <f>IFERROR(VLOOKUP(A1623,Grootboekschema!$A$1:$B$129,2,0), "")</f>
        <v/>
      </c>
    </row>
    <row r="1624">
      <c r="B1624">
        <f>IFERROR(VLOOKUP(A1624,Grootboekschema!$A$1:$B$129,2,0), "")</f>
        <v/>
      </c>
    </row>
    <row r="1625">
      <c r="B1625">
        <f>IFERROR(VLOOKUP(A1625,Grootboekschema!$A$1:$B$129,2,0), "")</f>
        <v/>
      </c>
    </row>
    <row r="1626">
      <c r="B1626">
        <f>IFERROR(VLOOKUP(A1626,Grootboekschema!$A$1:$B$129,2,0), "")</f>
        <v/>
      </c>
    </row>
    <row r="1627">
      <c r="B1627">
        <f>IFERROR(VLOOKUP(A1627,Grootboekschema!$A$1:$B$129,2,0), "")</f>
        <v/>
      </c>
    </row>
    <row r="1628">
      <c r="B1628">
        <f>IFERROR(VLOOKUP(A1628,Grootboekschema!$A$1:$B$129,2,0), "")</f>
        <v/>
      </c>
    </row>
    <row r="1629">
      <c r="B1629">
        <f>IFERROR(VLOOKUP(A1629,Grootboekschema!$A$1:$B$129,2,0), "")</f>
        <v/>
      </c>
    </row>
    <row r="1630">
      <c r="B1630">
        <f>IFERROR(VLOOKUP(A1630,Grootboekschema!$A$1:$B$129,2,0), "")</f>
        <v/>
      </c>
    </row>
    <row r="1631">
      <c r="B1631">
        <f>IFERROR(VLOOKUP(A1631,Grootboekschema!$A$1:$B$129,2,0), "")</f>
        <v/>
      </c>
    </row>
    <row r="1632">
      <c r="B1632">
        <f>IFERROR(VLOOKUP(A1632,Grootboekschema!$A$1:$B$129,2,0), "")</f>
        <v/>
      </c>
    </row>
    <row r="1633">
      <c r="B1633">
        <f>IFERROR(VLOOKUP(A1633,Grootboekschema!$A$1:$B$129,2,0), "")</f>
        <v/>
      </c>
    </row>
    <row r="1634">
      <c r="B1634">
        <f>IFERROR(VLOOKUP(A1634,Grootboekschema!$A$1:$B$129,2,0), "")</f>
        <v/>
      </c>
    </row>
    <row r="1635">
      <c r="B1635">
        <f>IFERROR(VLOOKUP(A1635,Grootboekschema!$A$1:$B$129,2,0), "")</f>
        <v/>
      </c>
    </row>
    <row r="1636">
      <c r="B1636">
        <f>IFERROR(VLOOKUP(A1636,Grootboekschema!$A$1:$B$129,2,0), "")</f>
        <v/>
      </c>
    </row>
    <row r="1637">
      <c r="B1637">
        <f>IFERROR(VLOOKUP(A1637,Grootboekschema!$A$1:$B$129,2,0), "")</f>
        <v/>
      </c>
    </row>
    <row r="1638">
      <c r="B1638">
        <f>IFERROR(VLOOKUP(A1638,Grootboekschema!$A$1:$B$129,2,0), "")</f>
        <v/>
      </c>
    </row>
    <row r="1639">
      <c r="B1639">
        <f>IFERROR(VLOOKUP(A1639,Grootboekschema!$A$1:$B$129,2,0), "")</f>
        <v/>
      </c>
    </row>
    <row r="1640">
      <c r="B1640">
        <f>IFERROR(VLOOKUP(A1640,Grootboekschema!$A$1:$B$129,2,0), "")</f>
        <v/>
      </c>
    </row>
    <row r="1641">
      <c r="B1641">
        <f>IFERROR(VLOOKUP(A1641,Grootboekschema!$A$1:$B$129,2,0), "")</f>
        <v/>
      </c>
    </row>
    <row r="1642">
      <c r="B1642">
        <f>IFERROR(VLOOKUP(A1642,Grootboekschema!$A$1:$B$129,2,0), "")</f>
        <v/>
      </c>
    </row>
    <row r="1643">
      <c r="B1643">
        <f>IFERROR(VLOOKUP(A1643,Grootboekschema!$A$1:$B$129,2,0), "")</f>
        <v/>
      </c>
    </row>
    <row r="1644">
      <c r="B1644">
        <f>IFERROR(VLOOKUP(A1644,Grootboekschema!$A$1:$B$129,2,0), "")</f>
        <v/>
      </c>
    </row>
    <row r="1645">
      <c r="B1645">
        <f>IFERROR(VLOOKUP(A1645,Grootboekschema!$A$1:$B$129,2,0), "")</f>
        <v/>
      </c>
    </row>
    <row r="1646">
      <c r="B1646">
        <f>IFERROR(VLOOKUP(A1646,Grootboekschema!$A$1:$B$129,2,0), "")</f>
        <v/>
      </c>
    </row>
    <row r="1647">
      <c r="B1647">
        <f>IFERROR(VLOOKUP(A1647,Grootboekschema!$A$1:$B$129,2,0), "")</f>
        <v/>
      </c>
    </row>
    <row r="1648">
      <c r="B1648">
        <f>IFERROR(VLOOKUP(A1648,Grootboekschema!$A$1:$B$129,2,0), "")</f>
        <v/>
      </c>
    </row>
    <row r="1649">
      <c r="B1649">
        <f>IFERROR(VLOOKUP(A1649,Grootboekschema!$A$1:$B$129,2,0), "")</f>
        <v/>
      </c>
    </row>
    <row r="1650">
      <c r="B1650">
        <f>IFERROR(VLOOKUP(A1650,Grootboekschema!$A$1:$B$129,2,0), "")</f>
        <v/>
      </c>
    </row>
    <row r="1651">
      <c r="B1651">
        <f>IFERROR(VLOOKUP(A1651,Grootboekschema!$A$1:$B$129,2,0), "")</f>
        <v/>
      </c>
    </row>
    <row r="1652">
      <c r="B1652">
        <f>IFERROR(VLOOKUP(A1652,Grootboekschema!$A$1:$B$129,2,0), "")</f>
        <v/>
      </c>
    </row>
    <row r="1653">
      <c r="B1653">
        <f>IFERROR(VLOOKUP(A1653,Grootboekschema!$A$1:$B$129,2,0), "")</f>
        <v/>
      </c>
    </row>
    <row r="1654">
      <c r="B1654">
        <f>IFERROR(VLOOKUP(A1654,Grootboekschema!$A$1:$B$129,2,0), "")</f>
        <v/>
      </c>
    </row>
    <row r="1655">
      <c r="B1655">
        <f>IFERROR(VLOOKUP(A1655,Grootboekschema!$A$1:$B$129,2,0), "")</f>
        <v/>
      </c>
    </row>
    <row r="1656">
      <c r="B1656">
        <f>IFERROR(VLOOKUP(A1656,Grootboekschema!$A$1:$B$129,2,0), "")</f>
        <v/>
      </c>
    </row>
    <row r="1657">
      <c r="B1657">
        <f>IFERROR(VLOOKUP(A1657,Grootboekschema!$A$1:$B$129,2,0), "")</f>
        <v/>
      </c>
    </row>
    <row r="1658">
      <c r="B1658">
        <f>IFERROR(VLOOKUP(A1658,Grootboekschema!$A$1:$B$129,2,0), "")</f>
        <v/>
      </c>
    </row>
    <row r="1659">
      <c r="B1659">
        <f>IFERROR(VLOOKUP(A1659,Grootboekschema!$A$1:$B$129,2,0), "")</f>
        <v/>
      </c>
    </row>
    <row r="1660">
      <c r="B1660">
        <f>IFERROR(VLOOKUP(A1660,Grootboekschema!$A$1:$B$129,2,0), "")</f>
        <v/>
      </c>
    </row>
    <row r="1661">
      <c r="B1661">
        <f>IFERROR(VLOOKUP(A1661,Grootboekschema!$A$1:$B$129,2,0), "")</f>
        <v/>
      </c>
    </row>
    <row r="1662">
      <c r="B1662">
        <f>IFERROR(VLOOKUP(A1662,Grootboekschema!$A$1:$B$129,2,0), "")</f>
        <v/>
      </c>
    </row>
    <row r="1663">
      <c r="B1663">
        <f>IFERROR(VLOOKUP(A1663,Grootboekschema!$A$1:$B$129,2,0), "")</f>
        <v/>
      </c>
    </row>
    <row r="1664">
      <c r="B1664">
        <f>IFERROR(VLOOKUP(A1664,Grootboekschema!$A$1:$B$129,2,0), "")</f>
        <v/>
      </c>
    </row>
    <row r="1665">
      <c r="B1665">
        <f>IFERROR(VLOOKUP(A1665,Grootboekschema!$A$1:$B$129,2,0), "")</f>
        <v/>
      </c>
    </row>
    <row r="1666">
      <c r="B1666">
        <f>IFERROR(VLOOKUP(A1666,Grootboekschema!$A$1:$B$129,2,0), "")</f>
        <v/>
      </c>
    </row>
    <row r="1667">
      <c r="B1667">
        <f>IFERROR(VLOOKUP(A1667,Grootboekschema!$A$1:$B$129,2,0), "")</f>
        <v/>
      </c>
    </row>
    <row r="1668">
      <c r="B1668">
        <f>IFERROR(VLOOKUP(A1668,Grootboekschema!$A$1:$B$129,2,0), "")</f>
        <v/>
      </c>
    </row>
    <row r="1669">
      <c r="B1669">
        <f>IFERROR(VLOOKUP(A1669,Grootboekschema!$A$1:$B$129,2,0), "")</f>
        <v/>
      </c>
    </row>
    <row r="1670">
      <c r="B1670">
        <f>IFERROR(VLOOKUP(A1670,Grootboekschema!$A$1:$B$129,2,0), "")</f>
        <v/>
      </c>
    </row>
    <row r="1671">
      <c r="B1671">
        <f>IFERROR(VLOOKUP(A1671,Grootboekschema!$A$1:$B$129,2,0), "")</f>
        <v/>
      </c>
    </row>
    <row r="1672">
      <c r="B1672">
        <f>IFERROR(VLOOKUP(A1672,Grootboekschema!$A$1:$B$129,2,0), "")</f>
        <v/>
      </c>
    </row>
    <row r="1673">
      <c r="B1673">
        <f>IFERROR(VLOOKUP(A1673,Grootboekschema!$A$1:$B$129,2,0), "")</f>
        <v/>
      </c>
    </row>
    <row r="1674">
      <c r="B1674">
        <f>IFERROR(VLOOKUP(A1674,Grootboekschema!$A$1:$B$129,2,0), "")</f>
        <v/>
      </c>
    </row>
    <row r="1675">
      <c r="B1675">
        <f>IFERROR(VLOOKUP(A1675,Grootboekschema!$A$1:$B$129,2,0), "")</f>
        <v/>
      </c>
    </row>
    <row r="1676">
      <c r="B1676">
        <f>IFERROR(VLOOKUP(A1676,Grootboekschema!$A$1:$B$129,2,0), "")</f>
        <v/>
      </c>
    </row>
    <row r="1677">
      <c r="B1677">
        <f>IFERROR(VLOOKUP(A1677,Grootboekschema!$A$1:$B$129,2,0), "")</f>
        <v/>
      </c>
    </row>
    <row r="1678">
      <c r="B1678">
        <f>IFERROR(VLOOKUP(A1678,Grootboekschema!$A$1:$B$129,2,0), "")</f>
        <v/>
      </c>
    </row>
    <row r="1679">
      <c r="B1679">
        <f>IFERROR(VLOOKUP(A1679,Grootboekschema!$A$1:$B$129,2,0), "")</f>
        <v/>
      </c>
    </row>
    <row r="1680">
      <c r="B1680">
        <f>IFERROR(VLOOKUP(A1680,Grootboekschema!$A$1:$B$129,2,0), "")</f>
        <v/>
      </c>
    </row>
    <row r="1681">
      <c r="B1681">
        <f>IFERROR(VLOOKUP(A1681,Grootboekschema!$A$1:$B$129,2,0), "")</f>
        <v/>
      </c>
    </row>
    <row r="1682">
      <c r="B1682">
        <f>IFERROR(VLOOKUP(A1682,Grootboekschema!$A$1:$B$129,2,0), "")</f>
        <v/>
      </c>
    </row>
    <row r="1683">
      <c r="B1683">
        <f>IFERROR(VLOOKUP(A1683,Grootboekschema!$A$1:$B$129,2,0), "")</f>
        <v/>
      </c>
    </row>
    <row r="1684">
      <c r="B1684">
        <f>IFERROR(VLOOKUP(A1684,Grootboekschema!$A$1:$B$129,2,0), "")</f>
        <v/>
      </c>
    </row>
    <row r="1685">
      <c r="B1685">
        <f>IFERROR(VLOOKUP(A1685,Grootboekschema!$A$1:$B$129,2,0), "")</f>
        <v/>
      </c>
    </row>
    <row r="1686">
      <c r="B1686">
        <f>IFERROR(VLOOKUP(A1686,Grootboekschema!$A$1:$B$129,2,0), "")</f>
        <v/>
      </c>
    </row>
    <row r="1687">
      <c r="B1687">
        <f>IFERROR(VLOOKUP(A1687,Grootboekschema!$A$1:$B$129,2,0), "")</f>
        <v/>
      </c>
    </row>
    <row r="1688">
      <c r="B1688">
        <f>IFERROR(VLOOKUP(A1688,Grootboekschema!$A$1:$B$129,2,0), "")</f>
        <v/>
      </c>
    </row>
    <row r="1689">
      <c r="B1689">
        <f>IFERROR(VLOOKUP(A1689,Grootboekschema!$A$1:$B$129,2,0), "")</f>
        <v/>
      </c>
    </row>
    <row r="1690">
      <c r="B1690">
        <f>IFERROR(VLOOKUP(A1690,Grootboekschema!$A$1:$B$129,2,0), "")</f>
        <v/>
      </c>
    </row>
    <row r="1691">
      <c r="B1691">
        <f>IFERROR(VLOOKUP(A1691,Grootboekschema!$A$1:$B$129,2,0), "")</f>
        <v/>
      </c>
    </row>
    <row r="1692">
      <c r="B1692">
        <f>IFERROR(VLOOKUP(A1692,Grootboekschema!$A$1:$B$129,2,0), "")</f>
        <v/>
      </c>
    </row>
    <row r="1693">
      <c r="B1693">
        <f>IFERROR(VLOOKUP(A1693,Grootboekschema!$A$1:$B$129,2,0), "")</f>
        <v/>
      </c>
    </row>
    <row r="1694">
      <c r="B1694">
        <f>IFERROR(VLOOKUP(A1694,Grootboekschema!$A$1:$B$129,2,0), "")</f>
        <v/>
      </c>
    </row>
    <row r="1695">
      <c r="B1695">
        <f>IFERROR(VLOOKUP(A1695,Grootboekschema!$A$1:$B$129,2,0), "")</f>
        <v/>
      </c>
    </row>
    <row r="1696">
      <c r="B1696">
        <f>IFERROR(VLOOKUP(A1696,Grootboekschema!$A$1:$B$129,2,0), "")</f>
        <v/>
      </c>
    </row>
    <row r="1697">
      <c r="B1697">
        <f>IFERROR(VLOOKUP(A1697,Grootboekschema!$A$1:$B$129,2,0), "")</f>
        <v/>
      </c>
    </row>
    <row r="1698">
      <c r="B1698">
        <f>IFERROR(VLOOKUP(A1698,Grootboekschema!$A$1:$B$129,2,0), "")</f>
        <v/>
      </c>
    </row>
    <row r="1699">
      <c r="B1699">
        <f>IFERROR(VLOOKUP(A1699,Grootboekschema!$A$1:$B$129,2,0), "")</f>
        <v/>
      </c>
    </row>
    <row r="1700">
      <c r="B1700">
        <f>IFERROR(VLOOKUP(A1700,Grootboekschema!$A$1:$B$129,2,0), "")</f>
        <v/>
      </c>
    </row>
    <row r="1701">
      <c r="B1701">
        <f>IFERROR(VLOOKUP(A1701,Grootboekschema!$A$1:$B$129,2,0), "")</f>
        <v/>
      </c>
    </row>
    <row r="1702">
      <c r="B1702">
        <f>IFERROR(VLOOKUP(A1702,Grootboekschema!$A$1:$B$129,2,0), "")</f>
        <v/>
      </c>
    </row>
    <row r="1703">
      <c r="B1703">
        <f>IFERROR(VLOOKUP(A1703,Grootboekschema!$A$1:$B$129,2,0), "")</f>
        <v/>
      </c>
    </row>
    <row r="1704">
      <c r="B1704">
        <f>IFERROR(VLOOKUP(A1704,Grootboekschema!$A$1:$B$129,2,0), "")</f>
        <v/>
      </c>
    </row>
    <row r="1705">
      <c r="B1705">
        <f>IFERROR(VLOOKUP(A1705,Grootboekschema!$A$1:$B$129,2,0), "")</f>
        <v/>
      </c>
    </row>
    <row r="1706">
      <c r="B1706">
        <f>IFERROR(VLOOKUP(A1706,Grootboekschema!$A$1:$B$129,2,0), "")</f>
        <v/>
      </c>
    </row>
    <row r="1707">
      <c r="B1707">
        <f>IFERROR(VLOOKUP(A1707,Grootboekschema!$A$1:$B$129,2,0), "")</f>
        <v/>
      </c>
    </row>
    <row r="1708">
      <c r="B1708">
        <f>IFERROR(VLOOKUP(A1708,Grootboekschema!$A$1:$B$129,2,0), "")</f>
        <v/>
      </c>
    </row>
    <row r="1709">
      <c r="B1709">
        <f>IFERROR(VLOOKUP(A1709,Grootboekschema!$A$1:$B$129,2,0), "")</f>
        <v/>
      </c>
    </row>
    <row r="1710">
      <c r="B1710">
        <f>IFERROR(VLOOKUP(A1710,Grootboekschema!$A$1:$B$129,2,0), "")</f>
        <v/>
      </c>
    </row>
    <row r="1711">
      <c r="B1711">
        <f>IFERROR(VLOOKUP(A1711,Grootboekschema!$A$1:$B$129,2,0), "")</f>
        <v/>
      </c>
    </row>
    <row r="1712">
      <c r="B1712">
        <f>IFERROR(VLOOKUP(A1712,Grootboekschema!$A$1:$B$129,2,0), "")</f>
        <v/>
      </c>
    </row>
    <row r="1713">
      <c r="B1713">
        <f>IFERROR(VLOOKUP(A1713,Grootboekschema!$A$1:$B$129,2,0), "")</f>
        <v/>
      </c>
    </row>
    <row r="1714">
      <c r="B1714">
        <f>IFERROR(VLOOKUP(A1714,Grootboekschema!$A$1:$B$129,2,0), "")</f>
        <v/>
      </c>
    </row>
    <row r="1715">
      <c r="B1715">
        <f>IFERROR(VLOOKUP(A1715,Grootboekschema!$A$1:$B$129,2,0), "")</f>
        <v/>
      </c>
    </row>
    <row r="1716">
      <c r="B1716">
        <f>IFERROR(VLOOKUP(A1716,Grootboekschema!$A$1:$B$129,2,0), "")</f>
        <v/>
      </c>
    </row>
    <row r="1717">
      <c r="B1717">
        <f>IFERROR(VLOOKUP(A1717,Grootboekschema!$A$1:$B$129,2,0), "")</f>
        <v/>
      </c>
    </row>
    <row r="1718">
      <c r="B1718">
        <f>IFERROR(VLOOKUP(A1718,Grootboekschema!$A$1:$B$129,2,0), "")</f>
        <v/>
      </c>
    </row>
    <row r="1719">
      <c r="B1719">
        <f>IFERROR(VLOOKUP(A1719,Grootboekschema!$A$1:$B$129,2,0), "")</f>
        <v/>
      </c>
    </row>
    <row r="1720">
      <c r="B1720">
        <f>IFERROR(VLOOKUP(A1720,Grootboekschema!$A$1:$B$129,2,0), "")</f>
        <v/>
      </c>
    </row>
    <row r="1721">
      <c r="B1721">
        <f>IFERROR(VLOOKUP(A1721,Grootboekschema!$A$1:$B$129,2,0), "")</f>
        <v/>
      </c>
    </row>
    <row r="1722">
      <c r="B1722">
        <f>IFERROR(VLOOKUP(A1722,Grootboekschema!$A$1:$B$129,2,0), "")</f>
        <v/>
      </c>
    </row>
    <row r="1723">
      <c r="B1723">
        <f>IFERROR(VLOOKUP(A1723,Grootboekschema!$A$1:$B$129,2,0), "")</f>
        <v/>
      </c>
    </row>
    <row r="1724">
      <c r="B1724">
        <f>IFERROR(VLOOKUP(A1724,Grootboekschema!$A$1:$B$129,2,0), "")</f>
        <v/>
      </c>
    </row>
    <row r="1725">
      <c r="B1725">
        <f>IFERROR(VLOOKUP(A1725,Grootboekschema!$A$1:$B$129,2,0), "")</f>
        <v/>
      </c>
    </row>
    <row r="1726">
      <c r="B1726">
        <f>IFERROR(VLOOKUP(A1726,Grootboekschema!$A$1:$B$129,2,0), "")</f>
        <v/>
      </c>
    </row>
    <row r="1727">
      <c r="B1727">
        <f>IFERROR(VLOOKUP(A1727,Grootboekschema!$A$1:$B$129,2,0), "")</f>
        <v/>
      </c>
    </row>
    <row r="1728">
      <c r="B1728">
        <f>IFERROR(VLOOKUP(A1728,Grootboekschema!$A$1:$B$129,2,0), "")</f>
        <v/>
      </c>
    </row>
    <row r="1729">
      <c r="B1729">
        <f>IFERROR(VLOOKUP(A1729,Grootboekschema!$A$1:$B$129,2,0), "")</f>
        <v/>
      </c>
    </row>
    <row r="1730">
      <c r="B1730">
        <f>IFERROR(VLOOKUP(A1730,Grootboekschema!$A$1:$B$129,2,0), "")</f>
        <v/>
      </c>
    </row>
    <row r="1731">
      <c r="B1731">
        <f>IFERROR(VLOOKUP(A1731,Grootboekschema!$A$1:$B$129,2,0), "")</f>
        <v/>
      </c>
    </row>
    <row r="1732">
      <c r="B1732">
        <f>IFERROR(VLOOKUP(A1732,Grootboekschema!$A$1:$B$129,2,0), "")</f>
        <v/>
      </c>
    </row>
    <row r="1733">
      <c r="B1733">
        <f>IFERROR(VLOOKUP(A1733,Grootboekschema!$A$1:$B$129,2,0), "")</f>
        <v/>
      </c>
    </row>
    <row r="1734">
      <c r="B1734">
        <f>IFERROR(VLOOKUP(A1734,Grootboekschema!$A$1:$B$129,2,0), "")</f>
        <v/>
      </c>
    </row>
    <row r="1735">
      <c r="B1735">
        <f>IFERROR(VLOOKUP(A1735,Grootboekschema!$A$1:$B$129,2,0), "")</f>
        <v/>
      </c>
    </row>
    <row r="1736">
      <c r="B1736">
        <f>IFERROR(VLOOKUP(A1736,Grootboekschema!$A$1:$B$129,2,0), "")</f>
        <v/>
      </c>
    </row>
    <row r="1737">
      <c r="B1737">
        <f>IFERROR(VLOOKUP(A1737,Grootboekschema!$A$1:$B$129,2,0), "")</f>
        <v/>
      </c>
    </row>
    <row r="1738">
      <c r="B1738">
        <f>IFERROR(VLOOKUP(A1738,Grootboekschema!$A$1:$B$129,2,0), "")</f>
        <v/>
      </c>
    </row>
    <row r="1739">
      <c r="B1739">
        <f>IFERROR(VLOOKUP(A1739,Grootboekschema!$A$1:$B$129,2,0), "")</f>
        <v/>
      </c>
    </row>
    <row r="1740">
      <c r="B1740">
        <f>IFERROR(VLOOKUP(A1740,Grootboekschema!$A$1:$B$129,2,0), "")</f>
        <v/>
      </c>
    </row>
    <row r="1741">
      <c r="B1741">
        <f>IFERROR(VLOOKUP(A1741,Grootboekschema!$A$1:$B$129,2,0), "")</f>
        <v/>
      </c>
    </row>
    <row r="1742">
      <c r="B1742">
        <f>IFERROR(VLOOKUP(A1742,Grootboekschema!$A$1:$B$129,2,0), "")</f>
        <v/>
      </c>
    </row>
    <row r="1743">
      <c r="B1743">
        <f>IFERROR(VLOOKUP(A1743,Grootboekschema!$A$1:$B$129,2,0), "")</f>
        <v/>
      </c>
    </row>
    <row r="1744">
      <c r="B1744">
        <f>IFERROR(VLOOKUP(A1744,Grootboekschema!$A$1:$B$129,2,0), "")</f>
        <v/>
      </c>
    </row>
    <row r="1745">
      <c r="B1745">
        <f>IFERROR(VLOOKUP(A1745,Grootboekschema!$A$1:$B$129,2,0), "")</f>
        <v/>
      </c>
    </row>
    <row r="1746">
      <c r="B1746">
        <f>IFERROR(VLOOKUP(A1746,Grootboekschema!$A$1:$B$129,2,0), "")</f>
        <v/>
      </c>
    </row>
    <row r="1747">
      <c r="B1747">
        <f>IFERROR(VLOOKUP(A1747,Grootboekschema!$A$1:$B$129,2,0), "")</f>
        <v/>
      </c>
    </row>
    <row r="1748">
      <c r="B1748">
        <f>IFERROR(VLOOKUP(A1748,Grootboekschema!$A$1:$B$129,2,0), "")</f>
        <v/>
      </c>
    </row>
    <row r="1749">
      <c r="B1749">
        <f>IFERROR(VLOOKUP(A1749,Grootboekschema!$A$1:$B$129,2,0), "")</f>
        <v/>
      </c>
    </row>
    <row r="1750">
      <c r="B1750">
        <f>IFERROR(VLOOKUP(A1750,Grootboekschema!$A$1:$B$129,2,0), "")</f>
        <v/>
      </c>
    </row>
    <row r="1751">
      <c r="B1751">
        <f>IFERROR(VLOOKUP(A1751,Grootboekschema!$A$1:$B$129,2,0), "")</f>
        <v/>
      </c>
    </row>
    <row r="1752">
      <c r="B1752">
        <f>IFERROR(VLOOKUP(A1752,Grootboekschema!$A$1:$B$129,2,0), "")</f>
        <v/>
      </c>
    </row>
    <row r="1753">
      <c r="B1753">
        <f>IFERROR(VLOOKUP(A1753,Grootboekschema!$A$1:$B$129,2,0), "")</f>
        <v/>
      </c>
    </row>
    <row r="1754">
      <c r="B1754">
        <f>IFERROR(VLOOKUP(A1754,Grootboekschema!$A$1:$B$129,2,0), "")</f>
        <v/>
      </c>
    </row>
    <row r="1755">
      <c r="B1755">
        <f>IFERROR(VLOOKUP(A1755,Grootboekschema!$A$1:$B$129,2,0), "")</f>
        <v/>
      </c>
    </row>
    <row r="1756">
      <c r="B1756">
        <f>IFERROR(VLOOKUP(A1756,Grootboekschema!$A$1:$B$129,2,0), "")</f>
        <v/>
      </c>
    </row>
    <row r="1757">
      <c r="B1757">
        <f>IFERROR(VLOOKUP(A1757,Grootboekschema!$A$1:$B$129,2,0), "")</f>
        <v/>
      </c>
    </row>
    <row r="1758">
      <c r="B1758">
        <f>IFERROR(VLOOKUP(A1758,Grootboekschema!$A$1:$B$129,2,0), "")</f>
        <v/>
      </c>
    </row>
    <row r="1759">
      <c r="B1759">
        <f>IFERROR(VLOOKUP(A1759,Grootboekschema!$A$1:$B$129,2,0), "")</f>
        <v/>
      </c>
    </row>
    <row r="1760">
      <c r="B1760">
        <f>IFERROR(VLOOKUP(A1760,Grootboekschema!$A$1:$B$129,2,0), "")</f>
        <v/>
      </c>
    </row>
    <row r="1761">
      <c r="B1761">
        <f>IFERROR(VLOOKUP(A1761,Grootboekschema!$A$1:$B$129,2,0), "")</f>
        <v/>
      </c>
    </row>
    <row r="1762">
      <c r="B1762">
        <f>IFERROR(VLOOKUP(A1762,Grootboekschema!$A$1:$B$129,2,0), "")</f>
        <v/>
      </c>
    </row>
    <row r="1763">
      <c r="B1763">
        <f>IFERROR(VLOOKUP(A1763,Grootboekschema!$A$1:$B$129,2,0), "")</f>
        <v/>
      </c>
    </row>
    <row r="1764">
      <c r="B1764">
        <f>IFERROR(VLOOKUP(A1764,Grootboekschema!$A$1:$B$129,2,0), "")</f>
        <v/>
      </c>
    </row>
    <row r="1765">
      <c r="B1765">
        <f>IFERROR(VLOOKUP(A1765,Grootboekschema!$A$1:$B$129,2,0), "")</f>
        <v/>
      </c>
    </row>
    <row r="1766">
      <c r="B1766">
        <f>IFERROR(VLOOKUP(A1766,Grootboekschema!$A$1:$B$129,2,0), "")</f>
        <v/>
      </c>
    </row>
    <row r="1767">
      <c r="B1767">
        <f>IFERROR(VLOOKUP(A1767,Grootboekschema!$A$1:$B$129,2,0), "")</f>
        <v/>
      </c>
    </row>
    <row r="1768">
      <c r="B1768">
        <f>IFERROR(VLOOKUP(A1768,Grootboekschema!$A$1:$B$129,2,0), "")</f>
        <v/>
      </c>
    </row>
    <row r="1769">
      <c r="B1769">
        <f>IFERROR(VLOOKUP(A1769,Grootboekschema!$A$1:$B$129,2,0), "")</f>
        <v/>
      </c>
    </row>
    <row r="1770">
      <c r="B1770">
        <f>IFERROR(VLOOKUP(A1770,Grootboekschema!$A$1:$B$129,2,0), "")</f>
        <v/>
      </c>
    </row>
    <row r="1771">
      <c r="B1771">
        <f>IFERROR(VLOOKUP(A1771,Grootboekschema!$A$1:$B$129,2,0), "")</f>
        <v/>
      </c>
    </row>
    <row r="1772">
      <c r="B1772">
        <f>IFERROR(VLOOKUP(A1772,Grootboekschema!$A$1:$B$129,2,0), "")</f>
        <v/>
      </c>
    </row>
    <row r="1773">
      <c r="B1773">
        <f>IFERROR(VLOOKUP(A1773,Grootboekschema!$A$1:$B$129,2,0), "")</f>
        <v/>
      </c>
    </row>
    <row r="1774">
      <c r="B1774">
        <f>IFERROR(VLOOKUP(A1774,Grootboekschema!$A$1:$B$129,2,0), "")</f>
        <v/>
      </c>
    </row>
    <row r="1775">
      <c r="B1775">
        <f>IFERROR(VLOOKUP(A1775,Grootboekschema!$A$1:$B$129,2,0), "")</f>
        <v/>
      </c>
    </row>
    <row r="1776">
      <c r="B1776">
        <f>IFERROR(VLOOKUP(A1776,Grootboekschema!$A$1:$B$129,2,0), "")</f>
        <v/>
      </c>
    </row>
    <row r="1777">
      <c r="B1777">
        <f>IFERROR(VLOOKUP(A1777,Grootboekschema!$A$1:$B$129,2,0), "")</f>
        <v/>
      </c>
    </row>
    <row r="1778">
      <c r="B1778">
        <f>IFERROR(VLOOKUP(A1778,Grootboekschema!$A$1:$B$129,2,0), "")</f>
        <v/>
      </c>
    </row>
    <row r="1779">
      <c r="B1779">
        <f>IFERROR(VLOOKUP(A1779,Grootboekschema!$A$1:$B$129,2,0), "")</f>
        <v/>
      </c>
    </row>
    <row r="1780">
      <c r="B1780">
        <f>IFERROR(VLOOKUP(A1780,Grootboekschema!$A$1:$B$129,2,0), "")</f>
        <v/>
      </c>
    </row>
    <row r="1781">
      <c r="B1781">
        <f>IFERROR(VLOOKUP(A1781,Grootboekschema!$A$1:$B$129,2,0), "")</f>
        <v/>
      </c>
    </row>
    <row r="1782">
      <c r="B1782">
        <f>IFERROR(VLOOKUP(A1782,Grootboekschema!$A$1:$B$129,2,0), "")</f>
        <v/>
      </c>
    </row>
    <row r="1783">
      <c r="B1783">
        <f>IFERROR(VLOOKUP(A1783,Grootboekschema!$A$1:$B$129,2,0), "")</f>
        <v/>
      </c>
    </row>
    <row r="1784">
      <c r="B1784">
        <f>IFERROR(VLOOKUP(A1784,Grootboekschema!$A$1:$B$129,2,0), "")</f>
        <v/>
      </c>
    </row>
    <row r="1785">
      <c r="B1785">
        <f>IFERROR(VLOOKUP(A1785,Grootboekschema!$A$1:$B$129,2,0), "")</f>
        <v/>
      </c>
    </row>
    <row r="1786">
      <c r="B1786">
        <f>IFERROR(VLOOKUP(A1786,Grootboekschema!$A$1:$B$129,2,0), "")</f>
        <v/>
      </c>
    </row>
    <row r="1787">
      <c r="B1787">
        <f>IFERROR(VLOOKUP(A1787,Grootboekschema!$A$1:$B$129,2,0), "")</f>
        <v/>
      </c>
    </row>
    <row r="1788">
      <c r="B1788">
        <f>IFERROR(VLOOKUP(A1788,Grootboekschema!$A$1:$B$129,2,0), "")</f>
        <v/>
      </c>
    </row>
    <row r="1789">
      <c r="B1789">
        <f>IFERROR(VLOOKUP(A1789,Grootboekschema!$A$1:$B$129,2,0), "")</f>
        <v/>
      </c>
    </row>
    <row r="1790">
      <c r="B1790">
        <f>IFERROR(VLOOKUP(A1790,Grootboekschema!$A$1:$B$129,2,0), "")</f>
        <v/>
      </c>
    </row>
    <row r="1791">
      <c r="B1791">
        <f>IFERROR(VLOOKUP(A1791,Grootboekschema!$A$1:$B$129,2,0), "")</f>
        <v/>
      </c>
    </row>
    <row r="1792">
      <c r="B1792">
        <f>IFERROR(VLOOKUP(A1792,Grootboekschema!$A$1:$B$129,2,0), "")</f>
        <v/>
      </c>
    </row>
    <row r="1793">
      <c r="B1793">
        <f>IFERROR(VLOOKUP(A1793,Grootboekschema!$A$1:$B$129,2,0), "")</f>
        <v/>
      </c>
    </row>
    <row r="1794">
      <c r="B1794">
        <f>IFERROR(VLOOKUP(A1794,Grootboekschema!$A$1:$B$129,2,0), "")</f>
        <v/>
      </c>
    </row>
    <row r="1795">
      <c r="B1795">
        <f>IFERROR(VLOOKUP(A1795,Grootboekschema!$A$1:$B$129,2,0), "")</f>
        <v/>
      </c>
    </row>
    <row r="1796">
      <c r="B1796">
        <f>IFERROR(VLOOKUP(A1796,Grootboekschema!$A$1:$B$129,2,0), "")</f>
        <v/>
      </c>
    </row>
    <row r="1797">
      <c r="B1797">
        <f>IFERROR(VLOOKUP(A1797,Grootboekschema!$A$1:$B$129,2,0), "")</f>
        <v/>
      </c>
    </row>
    <row r="1798">
      <c r="B1798">
        <f>IFERROR(VLOOKUP(A1798,Grootboekschema!$A$1:$B$129,2,0), "")</f>
        <v/>
      </c>
    </row>
    <row r="1799">
      <c r="B1799">
        <f>IFERROR(VLOOKUP(A1799,Grootboekschema!$A$1:$B$129,2,0), "")</f>
        <v/>
      </c>
    </row>
    <row r="1800">
      <c r="B1800">
        <f>IFERROR(VLOOKUP(A1800,Grootboekschema!$A$1:$B$129,2,0), "")</f>
        <v/>
      </c>
    </row>
    <row r="1801">
      <c r="B1801">
        <f>IFERROR(VLOOKUP(A1801,Grootboekschema!$A$1:$B$129,2,0), "")</f>
        <v/>
      </c>
    </row>
    <row r="1802">
      <c r="B1802">
        <f>IFERROR(VLOOKUP(A1802,Grootboekschema!$A$1:$B$129,2,0), "")</f>
        <v/>
      </c>
    </row>
    <row r="1803">
      <c r="B1803">
        <f>IFERROR(VLOOKUP(A1803,Grootboekschema!$A$1:$B$129,2,0), "")</f>
        <v/>
      </c>
    </row>
    <row r="1804">
      <c r="B1804">
        <f>IFERROR(VLOOKUP(A1804,Grootboekschema!$A$1:$B$129,2,0), "")</f>
        <v/>
      </c>
    </row>
    <row r="1805">
      <c r="B1805">
        <f>IFERROR(VLOOKUP(A1805,Grootboekschema!$A$1:$B$129,2,0), "")</f>
        <v/>
      </c>
    </row>
    <row r="1806">
      <c r="B1806">
        <f>IFERROR(VLOOKUP(A1806,Grootboekschema!$A$1:$B$129,2,0), "")</f>
        <v/>
      </c>
    </row>
    <row r="1807">
      <c r="B1807">
        <f>IFERROR(VLOOKUP(A1807,Grootboekschema!$A$1:$B$129,2,0), "")</f>
        <v/>
      </c>
    </row>
    <row r="1808">
      <c r="B1808">
        <f>IFERROR(VLOOKUP(A1808,Grootboekschema!$A$1:$B$129,2,0), "")</f>
        <v/>
      </c>
    </row>
    <row r="1809">
      <c r="B1809">
        <f>IFERROR(VLOOKUP(A1809,Grootboekschema!$A$1:$B$129,2,0), "")</f>
        <v/>
      </c>
    </row>
    <row r="1810">
      <c r="B1810">
        <f>IFERROR(VLOOKUP(A1810,Grootboekschema!$A$1:$B$129,2,0), "")</f>
        <v/>
      </c>
    </row>
    <row r="1811">
      <c r="B1811">
        <f>IFERROR(VLOOKUP(A1811,Grootboekschema!$A$1:$B$129,2,0), "")</f>
        <v/>
      </c>
    </row>
    <row r="1812">
      <c r="B1812">
        <f>IFERROR(VLOOKUP(A1812,Grootboekschema!$A$1:$B$129,2,0), "")</f>
        <v/>
      </c>
    </row>
    <row r="1813">
      <c r="B1813">
        <f>IFERROR(VLOOKUP(A1813,Grootboekschema!$A$1:$B$129,2,0), "")</f>
        <v/>
      </c>
    </row>
    <row r="1814">
      <c r="B1814">
        <f>IFERROR(VLOOKUP(A1814,Grootboekschema!$A$1:$B$129,2,0), "")</f>
        <v/>
      </c>
    </row>
    <row r="1815">
      <c r="B1815">
        <f>IFERROR(VLOOKUP(A1815,Grootboekschema!$A$1:$B$129,2,0), "")</f>
        <v/>
      </c>
    </row>
    <row r="1816">
      <c r="B1816">
        <f>IFERROR(VLOOKUP(A1816,Grootboekschema!$A$1:$B$129,2,0), "")</f>
        <v/>
      </c>
    </row>
    <row r="1817">
      <c r="B1817">
        <f>IFERROR(VLOOKUP(A1817,Grootboekschema!$A$1:$B$129,2,0), "")</f>
        <v/>
      </c>
    </row>
    <row r="1818">
      <c r="B1818">
        <f>IFERROR(VLOOKUP(A1818,Grootboekschema!$A$1:$B$129,2,0), "")</f>
        <v/>
      </c>
    </row>
    <row r="1819">
      <c r="B1819">
        <f>IFERROR(VLOOKUP(A1819,Grootboekschema!$A$1:$B$129,2,0), "")</f>
        <v/>
      </c>
    </row>
    <row r="1820">
      <c r="B1820">
        <f>IFERROR(VLOOKUP(A1820,Grootboekschema!$A$1:$B$129,2,0), "")</f>
        <v/>
      </c>
    </row>
    <row r="1821">
      <c r="B1821">
        <f>IFERROR(VLOOKUP(A1821,Grootboekschema!$A$1:$B$129,2,0), "")</f>
        <v/>
      </c>
    </row>
    <row r="1822">
      <c r="B1822">
        <f>IFERROR(VLOOKUP(A1822,Grootboekschema!$A$1:$B$129,2,0), "")</f>
        <v/>
      </c>
    </row>
    <row r="1823">
      <c r="B1823">
        <f>IFERROR(VLOOKUP(A1823,Grootboekschema!$A$1:$B$129,2,0), "")</f>
        <v/>
      </c>
    </row>
    <row r="1824">
      <c r="B1824">
        <f>IFERROR(VLOOKUP(A1824,Grootboekschema!$A$1:$B$129,2,0), "")</f>
        <v/>
      </c>
    </row>
    <row r="1825">
      <c r="B1825">
        <f>IFERROR(VLOOKUP(A1825,Grootboekschema!$A$1:$B$129,2,0), "")</f>
        <v/>
      </c>
    </row>
    <row r="1826">
      <c r="B1826">
        <f>IFERROR(VLOOKUP(A1826,Grootboekschema!$A$1:$B$129,2,0), "")</f>
        <v/>
      </c>
    </row>
    <row r="1827">
      <c r="B1827">
        <f>IFERROR(VLOOKUP(A1827,Grootboekschema!$A$1:$B$129,2,0), "")</f>
        <v/>
      </c>
    </row>
    <row r="1828">
      <c r="B1828">
        <f>IFERROR(VLOOKUP(A1828,Grootboekschema!$A$1:$B$129,2,0), "")</f>
        <v/>
      </c>
    </row>
    <row r="1829">
      <c r="B1829">
        <f>IFERROR(VLOOKUP(A1829,Grootboekschema!$A$1:$B$129,2,0), "")</f>
        <v/>
      </c>
    </row>
    <row r="1830">
      <c r="B1830">
        <f>IFERROR(VLOOKUP(A1830,Grootboekschema!$A$1:$B$129,2,0), "")</f>
        <v/>
      </c>
    </row>
    <row r="1831">
      <c r="B1831">
        <f>IFERROR(VLOOKUP(A1831,Grootboekschema!$A$1:$B$129,2,0), "")</f>
        <v/>
      </c>
    </row>
    <row r="1832">
      <c r="B1832">
        <f>IFERROR(VLOOKUP(A1832,Grootboekschema!$A$1:$B$129,2,0), "")</f>
        <v/>
      </c>
    </row>
    <row r="1833">
      <c r="B1833">
        <f>IFERROR(VLOOKUP(A1833,Grootboekschema!$A$1:$B$129,2,0), "")</f>
        <v/>
      </c>
    </row>
    <row r="1834">
      <c r="B1834">
        <f>IFERROR(VLOOKUP(A1834,Grootboekschema!$A$1:$B$129,2,0), "")</f>
        <v/>
      </c>
    </row>
    <row r="1835">
      <c r="B1835">
        <f>IFERROR(VLOOKUP(A1835,Grootboekschema!$A$1:$B$129,2,0), "")</f>
        <v/>
      </c>
    </row>
    <row r="1836">
      <c r="B1836">
        <f>IFERROR(VLOOKUP(A1836,Grootboekschema!$A$1:$B$129,2,0), "")</f>
        <v/>
      </c>
    </row>
    <row r="1837">
      <c r="B1837">
        <f>IFERROR(VLOOKUP(A1837,Grootboekschema!$A$1:$B$129,2,0), "")</f>
        <v/>
      </c>
    </row>
    <row r="1838">
      <c r="B1838">
        <f>IFERROR(VLOOKUP(A1838,Grootboekschema!$A$1:$B$129,2,0), "")</f>
        <v/>
      </c>
    </row>
    <row r="1839">
      <c r="B1839">
        <f>IFERROR(VLOOKUP(A1839,Grootboekschema!$A$1:$B$129,2,0), "")</f>
        <v/>
      </c>
    </row>
    <row r="1840">
      <c r="B1840">
        <f>IFERROR(VLOOKUP(A1840,Grootboekschema!$A$1:$B$129,2,0), "")</f>
        <v/>
      </c>
    </row>
    <row r="1841">
      <c r="B1841">
        <f>IFERROR(VLOOKUP(A1841,Grootboekschema!$A$1:$B$129,2,0), "")</f>
        <v/>
      </c>
    </row>
    <row r="1842">
      <c r="B1842">
        <f>IFERROR(VLOOKUP(A1842,Grootboekschema!$A$1:$B$129,2,0), "")</f>
        <v/>
      </c>
    </row>
    <row r="1843">
      <c r="B1843">
        <f>IFERROR(VLOOKUP(A1843,Grootboekschema!$A$1:$B$129,2,0), "")</f>
        <v/>
      </c>
    </row>
    <row r="1844">
      <c r="B1844">
        <f>IFERROR(VLOOKUP(A1844,Grootboekschema!$A$1:$B$129,2,0), "")</f>
        <v/>
      </c>
    </row>
    <row r="1845">
      <c r="B1845">
        <f>IFERROR(VLOOKUP(A1845,Grootboekschema!$A$1:$B$129,2,0), "")</f>
        <v/>
      </c>
    </row>
    <row r="1846">
      <c r="B1846">
        <f>IFERROR(VLOOKUP(A1846,Grootboekschema!$A$1:$B$129,2,0), "")</f>
        <v/>
      </c>
    </row>
    <row r="1847">
      <c r="B1847">
        <f>IFERROR(VLOOKUP(A1847,Grootboekschema!$A$1:$B$129,2,0), "")</f>
        <v/>
      </c>
    </row>
    <row r="1848">
      <c r="B1848">
        <f>IFERROR(VLOOKUP(A1848,Grootboekschema!$A$1:$B$129,2,0), "")</f>
        <v/>
      </c>
    </row>
    <row r="1849">
      <c r="B1849">
        <f>IFERROR(VLOOKUP(A1849,Grootboekschema!$A$1:$B$129,2,0), "")</f>
        <v/>
      </c>
    </row>
    <row r="1850">
      <c r="B1850">
        <f>IFERROR(VLOOKUP(A1850,Grootboekschema!$A$1:$B$129,2,0), "")</f>
        <v/>
      </c>
    </row>
    <row r="1851">
      <c r="B1851">
        <f>IFERROR(VLOOKUP(A1851,Grootboekschema!$A$1:$B$129,2,0), "")</f>
        <v/>
      </c>
    </row>
    <row r="1852">
      <c r="B1852">
        <f>IFERROR(VLOOKUP(A1852,Grootboekschema!$A$1:$B$129,2,0), "")</f>
        <v/>
      </c>
    </row>
    <row r="1853">
      <c r="B1853">
        <f>IFERROR(VLOOKUP(A1853,Grootboekschema!$A$1:$B$129,2,0), "")</f>
        <v/>
      </c>
    </row>
    <row r="1854">
      <c r="B1854">
        <f>IFERROR(VLOOKUP(A1854,Grootboekschema!$A$1:$B$129,2,0), "")</f>
        <v/>
      </c>
    </row>
    <row r="1855">
      <c r="B1855">
        <f>IFERROR(VLOOKUP(A1855,Grootboekschema!$A$1:$B$129,2,0), "")</f>
        <v/>
      </c>
    </row>
    <row r="1856">
      <c r="B1856">
        <f>IFERROR(VLOOKUP(A1856,Grootboekschema!$A$1:$B$129,2,0), "")</f>
        <v/>
      </c>
    </row>
    <row r="1857">
      <c r="B1857">
        <f>IFERROR(VLOOKUP(A1857,Grootboekschema!$A$1:$B$129,2,0), "")</f>
        <v/>
      </c>
    </row>
    <row r="1858">
      <c r="B1858">
        <f>IFERROR(VLOOKUP(A1858,Grootboekschema!$A$1:$B$129,2,0), "")</f>
        <v/>
      </c>
    </row>
    <row r="1859">
      <c r="B1859">
        <f>IFERROR(VLOOKUP(A1859,Grootboekschema!$A$1:$B$129,2,0), "")</f>
        <v/>
      </c>
    </row>
    <row r="1860">
      <c r="B1860">
        <f>IFERROR(VLOOKUP(A1860,Grootboekschema!$A$1:$B$129,2,0), "")</f>
        <v/>
      </c>
    </row>
    <row r="1861">
      <c r="B1861">
        <f>IFERROR(VLOOKUP(A1861,Grootboekschema!$A$1:$B$129,2,0), "")</f>
        <v/>
      </c>
    </row>
    <row r="1862">
      <c r="B1862">
        <f>IFERROR(VLOOKUP(A1862,Grootboekschema!$A$1:$B$129,2,0), "")</f>
        <v/>
      </c>
    </row>
    <row r="1863">
      <c r="B1863">
        <f>IFERROR(VLOOKUP(A1863,Grootboekschema!$A$1:$B$129,2,0), "")</f>
        <v/>
      </c>
    </row>
    <row r="1864">
      <c r="B1864">
        <f>IFERROR(VLOOKUP(A1864,Grootboekschema!$A$1:$B$129,2,0), "")</f>
        <v/>
      </c>
    </row>
    <row r="1865">
      <c r="B1865">
        <f>IFERROR(VLOOKUP(A1865,Grootboekschema!$A$1:$B$129,2,0), "")</f>
        <v/>
      </c>
    </row>
    <row r="1866">
      <c r="B1866">
        <f>IFERROR(VLOOKUP(A1866,Grootboekschema!$A$1:$B$129,2,0), "")</f>
        <v/>
      </c>
    </row>
    <row r="1867">
      <c r="B1867">
        <f>IFERROR(VLOOKUP(A1867,Grootboekschema!$A$1:$B$129,2,0), "")</f>
        <v/>
      </c>
    </row>
    <row r="1868">
      <c r="B1868">
        <f>IFERROR(VLOOKUP(A1868,Grootboekschema!$A$1:$B$129,2,0), "")</f>
        <v/>
      </c>
    </row>
    <row r="1869">
      <c r="B1869">
        <f>IFERROR(VLOOKUP(A1869,Grootboekschema!$A$1:$B$129,2,0), "")</f>
        <v/>
      </c>
    </row>
    <row r="1870">
      <c r="B1870">
        <f>IFERROR(VLOOKUP(A1870,Grootboekschema!$A$1:$B$129,2,0), "")</f>
        <v/>
      </c>
    </row>
    <row r="1871">
      <c r="B1871">
        <f>IFERROR(VLOOKUP(A1871,Grootboekschema!$A$1:$B$129,2,0), "")</f>
        <v/>
      </c>
    </row>
    <row r="1872">
      <c r="B1872">
        <f>IFERROR(VLOOKUP(A1872,Grootboekschema!$A$1:$B$129,2,0), "")</f>
        <v/>
      </c>
    </row>
    <row r="1873">
      <c r="B1873">
        <f>IFERROR(VLOOKUP(A1873,Grootboekschema!$A$1:$B$129,2,0), "")</f>
        <v/>
      </c>
    </row>
    <row r="1874">
      <c r="B1874">
        <f>IFERROR(VLOOKUP(A1874,Grootboekschema!$A$1:$B$129,2,0), "")</f>
        <v/>
      </c>
    </row>
    <row r="1875">
      <c r="B1875">
        <f>IFERROR(VLOOKUP(A1875,Grootboekschema!$A$1:$B$129,2,0), "")</f>
        <v/>
      </c>
    </row>
    <row r="1876">
      <c r="B1876">
        <f>IFERROR(VLOOKUP(A1876,Grootboekschema!$A$1:$B$129,2,0), "")</f>
        <v/>
      </c>
    </row>
    <row r="1877">
      <c r="B1877">
        <f>IFERROR(VLOOKUP(A1877,Grootboekschema!$A$1:$B$129,2,0), "")</f>
        <v/>
      </c>
    </row>
    <row r="1878">
      <c r="B1878">
        <f>IFERROR(VLOOKUP(A1878,Grootboekschema!$A$1:$B$129,2,0), "")</f>
        <v/>
      </c>
    </row>
    <row r="1879">
      <c r="B1879">
        <f>IFERROR(VLOOKUP(A1879,Grootboekschema!$A$1:$B$129,2,0), "")</f>
        <v/>
      </c>
    </row>
    <row r="1880">
      <c r="B1880">
        <f>IFERROR(VLOOKUP(A1880,Grootboekschema!$A$1:$B$129,2,0), "")</f>
        <v/>
      </c>
    </row>
    <row r="1881">
      <c r="B1881">
        <f>IFERROR(VLOOKUP(A1881,Grootboekschema!$A$1:$B$129,2,0), "")</f>
        <v/>
      </c>
    </row>
    <row r="1882">
      <c r="B1882">
        <f>IFERROR(VLOOKUP(A1882,Grootboekschema!$A$1:$B$129,2,0), "")</f>
        <v/>
      </c>
    </row>
    <row r="1883">
      <c r="B1883">
        <f>IFERROR(VLOOKUP(A1883,Grootboekschema!$A$1:$B$129,2,0), "")</f>
        <v/>
      </c>
    </row>
    <row r="1884">
      <c r="B1884">
        <f>IFERROR(VLOOKUP(A1884,Grootboekschema!$A$1:$B$129,2,0), "")</f>
        <v/>
      </c>
    </row>
    <row r="1885">
      <c r="B1885">
        <f>IFERROR(VLOOKUP(A1885,Grootboekschema!$A$1:$B$129,2,0), "")</f>
        <v/>
      </c>
    </row>
    <row r="1886">
      <c r="B1886">
        <f>IFERROR(VLOOKUP(A1886,Grootboekschema!$A$1:$B$129,2,0), "")</f>
        <v/>
      </c>
    </row>
    <row r="1887">
      <c r="B1887">
        <f>IFERROR(VLOOKUP(A1887,Grootboekschema!$A$1:$B$129,2,0), "")</f>
        <v/>
      </c>
    </row>
    <row r="1888">
      <c r="B1888">
        <f>IFERROR(VLOOKUP(A1888,Grootboekschema!$A$1:$B$129,2,0), "")</f>
        <v/>
      </c>
    </row>
    <row r="1889">
      <c r="B1889">
        <f>IFERROR(VLOOKUP(A1889,Grootboekschema!$A$1:$B$129,2,0), "")</f>
        <v/>
      </c>
    </row>
    <row r="1890">
      <c r="B1890">
        <f>IFERROR(VLOOKUP(A1890,Grootboekschema!$A$1:$B$129,2,0), "")</f>
        <v/>
      </c>
    </row>
    <row r="1891">
      <c r="B1891">
        <f>IFERROR(VLOOKUP(A1891,Grootboekschema!$A$1:$B$129,2,0), "")</f>
        <v/>
      </c>
    </row>
    <row r="1892">
      <c r="B1892">
        <f>IFERROR(VLOOKUP(A1892,Grootboekschema!$A$1:$B$129,2,0), "")</f>
        <v/>
      </c>
    </row>
    <row r="1893">
      <c r="B1893">
        <f>IFERROR(VLOOKUP(A1893,Grootboekschema!$A$1:$B$129,2,0), "")</f>
        <v/>
      </c>
    </row>
    <row r="1894">
      <c r="B1894">
        <f>IFERROR(VLOOKUP(A1894,Grootboekschema!$A$1:$B$129,2,0), "")</f>
        <v/>
      </c>
    </row>
    <row r="1895">
      <c r="B1895">
        <f>IFERROR(VLOOKUP(A1895,Grootboekschema!$A$1:$B$129,2,0), "")</f>
        <v/>
      </c>
    </row>
    <row r="1896">
      <c r="B1896">
        <f>IFERROR(VLOOKUP(A1896,Grootboekschema!$A$1:$B$129,2,0), "")</f>
        <v/>
      </c>
    </row>
    <row r="1897">
      <c r="B1897">
        <f>IFERROR(VLOOKUP(A1897,Grootboekschema!$A$1:$B$129,2,0), "")</f>
        <v/>
      </c>
    </row>
    <row r="1898">
      <c r="B1898">
        <f>IFERROR(VLOOKUP(A1898,Grootboekschema!$A$1:$B$129,2,0), "")</f>
        <v/>
      </c>
    </row>
    <row r="1899">
      <c r="B1899">
        <f>IFERROR(VLOOKUP(A1899,Grootboekschema!$A$1:$B$129,2,0), "")</f>
        <v/>
      </c>
    </row>
    <row r="1900">
      <c r="B1900">
        <f>IFERROR(VLOOKUP(A1900,Grootboekschema!$A$1:$B$129,2,0), "")</f>
        <v/>
      </c>
    </row>
    <row r="1901">
      <c r="B1901">
        <f>IFERROR(VLOOKUP(A1901,Grootboekschema!$A$1:$B$129,2,0), "")</f>
        <v/>
      </c>
    </row>
    <row r="1902">
      <c r="B1902">
        <f>IFERROR(VLOOKUP(A1902,Grootboekschema!$A$1:$B$129,2,0), "")</f>
        <v/>
      </c>
    </row>
    <row r="1903">
      <c r="B1903">
        <f>IFERROR(VLOOKUP(A1903,Grootboekschema!$A$1:$B$129,2,0), "")</f>
        <v/>
      </c>
    </row>
    <row r="1904">
      <c r="B1904">
        <f>IFERROR(VLOOKUP(A1904,Grootboekschema!$A$1:$B$129,2,0), "")</f>
        <v/>
      </c>
    </row>
    <row r="1905">
      <c r="B1905">
        <f>IFERROR(VLOOKUP(A1905,Grootboekschema!$A$1:$B$129,2,0), "")</f>
        <v/>
      </c>
    </row>
    <row r="1906">
      <c r="B1906">
        <f>IFERROR(VLOOKUP(A1906,Grootboekschema!$A$1:$B$129,2,0), "")</f>
        <v/>
      </c>
    </row>
    <row r="1907">
      <c r="B1907">
        <f>IFERROR(VLOOKUP(A1907,Grootboekschema!$A$1:$B$129,2,0), "")</f>
        <v/>
      </c>
    </row>
    <row r="1908">
      <c r="B1908">
        <f>IFERROR(VLOOKUP(A1908,Grootboekschema!$A$1:$B$129,2,0), "")</f>
        <v/>
      </c>
    </row>
    <row r="1909">
      <c r="B1909">
        <f>IFERROR(VLOOKUP(A1909,Grootboekschema!$A$1:$B$129,2,0), "")</f>
        <v/>
      </c>
    </row>
    <row r="1910">
      <c r="B1910">
        <f>IFERROR(VLOOKUP(A1910,Grootboekschema!$A$1:$B$129,2,0), "")</f>
        <v/>
      </c>
    </row>
    <row r="1911">
      <c r="B1911">
        <f>IFERROR(VLOOKUP(A1911,Grootboekschema!$A$1:$B$129,2,0), "")</f>
        <v/>
      </c>
    </row>
    <row r="1912">
      <c r="B1912">
        <f>IFERROR(VLOOKUP(A1912,Grootboekschema!$A$1:$B$129,2,0), "")</f>
        <v/>
      </c>
    </row>
    <row r="1913">
      <c r="B1913">
        <f>IFERROR(VLOOKUP(A1913,Grootboekschema!$A$1:$B$129,2,0), "")</f>
        <v/>
      </c>
    </row>
    <row r="1914">
      <c r="B1914">
        <f>IFERROR(VLOOKUP(A1914,Grootboekschema!$A$1:$B$129,2,0), "")</f>
        <v/>
      </c>
    </row>
    <row r="1915">
      <c r="B1915">
        <f>IFERROR(VLOOKUP(A1915,Grootboekschema!$A$1:$B$129,2,0), "")</f>
        <v/>
      </c>
    </row>
    <row r="1916">
      <c r="B1916">
        <f>IFERROR(VLOOKUP(A1916,Grootboekschema!$A$1:$B$129,2,0), "")</f>
        <v/>
      </c>
    </row>
    <row r="1917">
      <c r="B1917">
        <f>IFERROR(VLOOKUP(A1917,Grootboekschema!$A$1:$B$129,2,0), "")</f>
        <v/>
      </c>
    </row>
    <row r="1918">
      <c r="B1918">
        <f>IFERROR(VLOOKUP(A1918,Grootboekschema!$A$1:$B$129,2,0), "")</f>
        <v/>
      </c>
    </row>
    <row r="1919">
      <c r="B1919">
        <f>IFERROR(VLOOKUP(A1919,Grootboekschema!$A$1:$B$129,2,0), "")</f>
        <v/>
      </c>
    </row>
    <row r="1920">
      <c r="B1920">
        <f>IFERROR(VLOOKUP(A1920,Grootboekschema!$A$1:$B$129,2,0), "")</f>
        <v/>
      </c>
    </row>
    <row r="1921">
      <c r="B1921">
        <f>IFERROR(VLOOKUP(A1921,Grootboekschema!$A$1:$B$129,2,0), "")</f>
        <v/>
      </c>
    </row>
    <row r="1922">
      <c r="B1922">
        <f>IFERROR(VLOOKUP(A1922,Grootboekschema!$A$1:$B$129,2,0), "")</f>
        <v/>
      </c>
    </row>
    <row r="1923">
      <c r="B1923">
        <f>IFERROR(VLOOKUP(A1923,Grootboekschema!$A$1:$B$129,2,0), "")</f>
        <v/>
      </c>
    </row>
    <row r="1924">
      <c r="B1924">
        <f>IFERROR(VLOOKUP(A1924,Grootboekschema!$A$1:$B$129,2,0), "")</f>
        <v/>
      </c>
    </row>
    <row r="1925">
      <c r="B1925">
        <f>IFERROR(VLOOKUP(A1925,Grootboekschema!$A$1:$B$129,2,0), "")</f>
        <v/>
      </c>
    </row>
    <row r="1926">
      <c r="B1926">
        <f>IFERROR(VLOOKUP(A1926,Grootboekschema!$A$1:$B$129,2,0), "")</f>
        <v/>
      </c>
    </row>
    <row r="1927">
      <c r="B1927">
        <f>IFERROR(VLOOKUP(A1927,Grootboekschema!$A$1:$B$129,2,0), "")</f>
        <v/>
      </c>
    </row>
    <row r="1928">
      <c r="B1928">
        <f>IFERROR(VLOOKUP(A1928,Grootboekschema!$A$1:$B$129,2,0), "")</f>
        <v/>
      </c>
    </row>
    <row r="1929">
      <c r="B1929">
        <f>IFERROR(VLOOKUP(A1929,Grootboekschema!$A$1:$B$129,2,0), "")</f>
        <v/>
      </c>
    </row>
    <row r="1930">
      <c r="B1930">
        <f>IFERROR(VLOOKUP(A1930,Grootboekschema!$A$1:$B$129,2,0), "")</f>
        <v/>
      </c>
    </row>
    <row r="1931">
      <c r="B1931">
        <f>IFERROR(VLOOKUP(A1931,Grootboekschema!$A$1:$B$129,2,0), "")</f>
        <v/>
      </c>
    </row>
    <row r="1932">
      <c r="B1932">
        <f>IFERROR(VLOOKUP(A1932,Grootboekschema!$A$1:$B$129,2,0), "")</f>
        <v/>
      </c>
    </row>
    <row r="1933">
      <c r="B1933">
        <f>IFERROR(VLOOKUP(A1933,Grootboekschema!$A$1:$B$129,2,0), "")</f>
        <v/>
      </c>
    </row>
    <row r="1934">
      <c r="B1934">
        <f>IFERROR(VLOOKUP(A1934,Grootboekschema!$A$1:$B$129,2,0), "")</f>
        <v/>
      </c>
    </row>
    <row r="1935">
      <c r="B1935">
        <f>IFERROR(VLOOKUP(A1935,Grootboekschema!$A$1:$B$129,2,0), "")</f>
        <v/>
      </c>
    </row>
    <row r="1936">
      <c r="B1936">
        <f>IFERROR(VLOOKUP(A1936,Grootboekschema!$A$1:$B$129,2,0), "")</f>
        <v/>
      </c>
    </row>
    <row r="1937">
      <c r="B1937">
        <f>IFERROR(VLOOKUP(A1937,Grootboekschema!$A$1:$B$129,2,0), "")</f>
        <v/>
      </c>
    </row>
    <row r="1938">
      <c r="B1938">
        <f>IFERROR(VLOOKUP(A1938,Grootboekschema!$A$1:$B$129,2,0), "")</f>
        <v/>
      </c>
    </row>
    <row r="1939">
      <c r="B1939">
        <f>IFERROR(VLOOKUP(A1939,Grootboekschema!$A$1:$B$129,2,0), "")</f>
        <v/>
      </c>
    </row>
    <row r="1940">
      <c r="B1940">
        <f>IFERROR(VLOOKUP(A1940,Grootboekschema!$A$1:$B$129,2,0), "")</f>
        <v/>
      </c>
    </row>
    <row r="1941">
      <c r="B1941">
        <f>IFERROR(VLOOKUP(A1941,Grootboekschema!$A$1:$B$129,2,0), "")</f>
        <v/>
      </c>
    </row>
    <row r="1942">
      <c r="B1942">
        <f>IFERROR(VLOOKUP(A1942,Grootboekschema!$A$1:$B$129,2,0), "")</f>
        <v/>
      </c>
    </row>
    <row r="1943">
      <c r="B1943">
        <f>IFERROR(VLOOKUP(A1943,Grootboekschema!$A$1:$B$129,2,0), "")</f>
        <v/>
      </c>
    </row>
    <row r="1944">
      <c r="B1944">
        <f>IFERROR(VLOOKUP(A1944,Grootboekschema!$A$1:$B$129,2,0), "")</f>
        <v/>
      </c>
    </row>
    <row r="1945">
      <c r="B1945">
        <f>IFERROR(VLOOKUP(A1945,Grootboekschema!$A$1:$B$129,2,0), "")</f>
        <v/>
      </c>
    </row>
    <row r="1946">
      <c r="B1946">
        <f>IFERROR(VLOOKUP(A1946,Grootboekschema!$A$1:$B$129,2,0), "")</f>
        <v/>
      </c>
    </row>
    <row r="1947">
      <c r="B1947">
        <f>IFERROR(VLOOKUP(A1947,Grootboekschema!$A$1:$B$129,2,0), "")</f>
        <v/>
      </c>
    </row>
    <row r="1948">
      <c r="B1948">
        <f>IFERROR(VLOOKUP(A1948,Grootboekschema!$A$1:$B$129,2,0), "")</f>
        <v/>
      </c>
    </row>
    <row r="1949">
      <c r="B1949">
        <f>IFERROR(VLOOKUP(A1949,Grootboekschema!$A$1:$B$129,2,0), "")</f>
        <v/>
      </c>
    </row>
    <row r="1950">
      <c r="B1950">
        <f>IFERROR(VLOOKUP(A1950,Grootboekschema!$A$1:$B$129,2,0), "")</f>
        <v/>
      </c>
    </row>
    <row r="1951">
      <c r="B1951">
        <f>IFERROR(VLOOKUP(A1951,Grootboekschema!$A$1:$B$129,2,0), "")</f>
        <v/>
      </c>
    </row>
    <row r="1952">
      <c r="B1952">
        <f>IFERROR(VLOOKUP(A1952,Grootboekschema!$A$1:$B$129,2,0), "")</f>
        <v/>
      </c>
    </row>
    <row r="1953">
      <c r="B1953">
        <f>IFERROR(VLOOKUP(A1953,Grootboekschema!$A$1:$B$129,2,0), "")</f>
        <v/>
      </c>
    </row>
    <row r="1954">
      <c r="B1954">
        <f>IFERROR(VLOOKUP(A1954,Grootboekschema!$A$1:$B$129,2,0), "")</f>
        <v/>
      </c>
    </row>
    <row r="1955">
      <c r="B1955">
        <f>IFERROR(VLOOKUP(A1955,Grootboekschema!$A$1:$B$129,2,0), "")</f>
        <v/>
      </c>
    </row>
    <row r="1956">
      <c r="B1956">
        <f>IFERROR(VLOOKUP(A1956,Grootboekschema!$A$1:$B$129,2,0), "")</f>
        <v/>
      </c>
    </row>
    <row r="1957">
      <c r="B1957">
        <f>IFERROR(VLOOKUP(A1957,Grootboekschema!$A$1:$B$129,2,0), "")</f>
        <v/>
      </c>
    </row>
    <row r="1958">
      <c r="B1958">
        <f>IFERROR(VLOOKUP(A1958,Grootboekschema!$A$1:$B$129,2,0), "")</f>
        <v/>
      </c>
    </row>
    <row r="1959">
      <c r="B1959">
        <f>IFERROR(VLOOKUP(A1959,Grootboekschema!$A$1:$B$129,2,0), "")</f>
        <v/>
      </c>
    </row>
    <row r="1960">
      <c r="B1960">
        <f>IFERROR(VLOOKUP(A1960,Grootboekschema!$A$1:$B$129,2,0), "")</f>
        <v/>
      </c>
    </row>
    <row r="1961">
      <c r="B1961">
        <f>IFERROR(VLOOKUP(A1961,Grootboekschema!$A$1:$B$129,2,0), "")</f>
        <v/>
      </c>
    </row>
    <row r="1962">
      <c r="B1962">
        <f>IFERROR(VLOOKUP(A1962,Grootboekschema!$A$1:$B$129,2,0), "")</f>
        <v/>
      </c>
    </row>
    <row r="1963">
      <c r="B1963">
        <f>IFERROR(VLOOKUP(A1963,Grootboekschema!$A$1:$B$129,2,0), "")</f>
        <v/>
      </c>
    </row>
    <row r="1964">
      <c r="B1964">
        <f>IFERROR(VLOOKUP(A1964,Grootboekschema!$A$1:$B$129,2,0), "")</f>
        <v/>
      </c>
    </row>
    <row r="1965">
      <c r="B1965">
        <f>IFERROR(VLOOKUP(A1965,Grootboekschema!$A$1:$B$129,2,0), "")</f>
        <v/>
      </c>
    </row>
    <row r="1966">
      <c r="B1966">
        <f>IFERROR(VLOOKUP(A1966,Grootboekschema!$A$1:$B$129,2,0), "")</f>
        <v/>
      </c>
    </row>
    <row r="1967">
      <c r="B1967">
        <f>IFERROR(VLOOKUP(A1967,Grootboekschema!$A$1:$B$129,2,0), "")</f>
        <v/>
      </c>
    </row>
    <row r="1968">
      <c r="B1968">
        <f>IFERROR(VLOOKUP(A1968,Grootboekschema!$A$1:$B$129,2,0), "")</f>
        <v/>
      </c>
    </row>
    <row r="1969">
      <c r="B1969">
        <f>IFERROR(VLOOKUP(A1969,Grootboekschema!$A$1:$B$129,2,0), "")</f>
        <v/>
      </c>
    </row>
    <row r="1970">
      <c r="B1970">
        <f>IFERROR(VLOOKUP(A1970,Grootboekschema!$A$1:$B$129,2,0), "")</f>
        <v/>
      </c>
    </row>
    <row r="1971">
      <c r="B1971">
        <f>IFERROR(VLOOKUP(A1971,Grootboekschema!$A$1:$B$129,2,0), "")</f>
        <v/>
      </c>
    </row>
    <row r="1972">
      <c r="B1972">
        <f>IFERROR(VLOOKUP(A1972,Grootboekschema!$A$1:$B$129,2,0), "")</f>
        <v/>
      </c>
    </row>
    <row r="1973">
      <c r="B1973">
        <f>IFERROR(VLOOKUP(A1973,Grootboekschema!$A$1:$B$129,2,0), "")</f>
        <v/>
      </c>
    </row>
    <row r="1974">
      <c r="B1974">
        <f>IFERROR(VLOOKUP(A1974,Grootboekschema!$A$1:$B$129,2,0), "")</f>
        <v/>
      </c>
    </row>
    <row r="1975">
      <c r="B1975">
        <f>IFERROR(VLOOKUP(A1975,Grootboekschema!$A$1:$B$129,2,0), "")</f>
        <v/>
      </c>
    </row>
    <row r="1976">
      <c r="B1976">
        <f>IFERROR(VLOOKUP(A1976,Grootboekschema!$A$1:$B$129,2,0), "")</f>
        <v/>
      </c>
    </row>
    <row r="1977">
      <c r="B1977">
        <f>IFERROR(VLOOKUP(A1977,Grootboekschema!$A$1:$B$129,2,0), "")</f>
        <v/>
      </c>
    </row>
    <row r="1978">
      <c r="B1978">
        <f>IFERROR(VLOOKUP(A1978,Grootboekschema!$A$1:$B$129,2,0), "")</f>
        <v/>
      </c>
    </row>
    <row r="1979">
      <c r="B1979">
        <f>IFERROR(VLOOKUP(A1979,Grootboekschema!$A$1:$B$129,2,0), "")</f>
        <v/>
      </c>
    </row>
    <row r="1980">
      <c r="B1980">
        <f>IFERROR(VLOOKUP(A1980,Grootboekschema!$A$1:$B$129,2,0), "")</f>
        <v/>
      </c>
    </row>
    <row r="1981">
      <c r="B1981">
        <f>IFERROR(VLOOKUP(A1981,Grootboekschema!$A$1:$B$129,2,0), "")</f>
        <v/>
      </c>
    </row>
    <row r="1982">
      <c r="B1982">
        <f>IFERROR(VLOOKUP(A1982,Grootboekschema!$A$1:$B$129,2,0), "")</f>
        <v/>
      </c>
    </row>
    <row r="1983">
      <c r="B1983">
        <f>IFERROR(VLOOKUP(A1983,Grootboekschema!$A$1:$B$129,2,0), "")</f>
        <v/>
      </c>
    </row>
    <row r="1984">
      <c r="B1984">
        <f>IFERROR(VLOOKUP(A1984,Grootboekschema!$A$1:$B$129,2,0), "")</f>
        <v/>
      </c>
    </row>
    <row r="1985">
      <c r="B1985">
        <f>IFERROR(VLOOKUP(A1985,Grootboekschema!$A$1:$B$129,2,0), "")</f>
        <v/>
      </c>
    </row>
    <row r="1986">
      <c r="B1986">
        <f>IFERROR(VLOOKUP(A1986,Grootboekschema!$A$1:$B$129,2,0), "")</f>
        <v/>
      </c>
    </row>
    <row r="1987">
      <c r="B1987">
        <f>IFERROR(VLOOKUP(A1987,Grootboekschema!$A$1:$B$129,2,0), "")</f>
        <v/>
      </c>
    </row>
    <row r="1988">
      <c r="B1988">
        <f>IFERROR(VLOOKUP(A1988,Grootboekschema!$A$1:$B$129,2,0), "")</f>
        <v/>
      </c>
    </row>
    <row r="1989">
      <c r="B1989">
        <f>IFERROR(VLOOKUP(A1989,Grootboekschema!$A$1:$B$129,2,0), "")</f>
        <v/>
      </c>
    </row>
    <row r="1990">
      <c r="B1990">
        <f>IFERROR(VLOOKUP(A1990,Grootboekschema!$A$1:$B$129,2,0), "")</f>
        <v/>
      </c>
    </row>
    <row r="1991">
      <c r="B1991">
        <f>IFERROR(VLOOKUP(A1991,Grootboekschema!$A$1:$B$129,2,0), "")</f>
        <v/>
      </c>
    </row>
    <row r="1992">
      <c r="B1992">
        <f>IFERROR(VLOOKUP(A1992,Grootboekschema!$A$1:$B$129,2,0), "")</f>
        <v/>
      </c>
    </row>
    <row r="1993">
      <c r="B1993">
        <f>IFERROR(VLOOKUP(A1993,Grootboekschema!$A$1:$B$129,2,0), "")</f>
        <v/>
      </c>
    </row>
    <row r="1994">
      <c r="B1994">
        <f>IFERROR(VLOOKUP(A1994,Grootboekschema!$A$1:$B$129,2,0), "")</f>
        <v/>
      </c>
    </row>
    <row r="1995">
      <c r="B1995">
        <f>IFERROR(VLOOKUP(A1995,Grootboekschema!$A$1:$B$129,2,0), "")</f>
        <v/>
      </c>
    </row>
    <row r="1996">
      <c r="B1996">
        <f>IFERROR(VLOOKUP(A1996,Grootboekschema!$A$1:$B$129,2,0), "")</f>
        <v/>
      </c>
    </row>
    <row r="1997">
      <c r="B1997">
        <f>IFERROR(VLOOKUP(A1997,Grootboekschema!$A$1:$B$129,2,0), "")</f>
        <v/>
      </c>
    </row>
    <row r="1998">
      <c r="B1998">
        <f>IFERROR(VLOOKUP(A1998,Grootboekschema!$A$1:$B$129,2,0), "")</f>
        <v/>
      </c>
    </row>
    <row r="1999">
      <c r="B1999">
        <f>IFERROR(VLOOKUP(A1999,Grootboekschema!$A$1:$B$129,2,0), "")</f>
        <v/>
      </c>
    </row>
    <row r="2000">
      <c r="B2000">
        <f>IFERROR(VLOOKUP(A2000,Grootboekschema!$A$1:$B$129,2,0), "")</f>
        <v/>
      </c>
    </row>
    <row r="2001">
      <c r="B2001">
        <f>IFERROR(VLOOKUP(A2001,Grootboekschema!$A$1:$B$129,2,0), "")</f>
        <v/>
      </c>
    </row>
    <row r="2002">
      <c r="B2002">
        <f>IFERROR(VLOOKUP(A2002,Grootboekschema!$A$1:$B$129,2,0), "")</f>
        <v/>
      </c>
    </row>
    <row r="2003">
      <c r="B2003">
        <f>IFERROR(VLOOKUP(A2003,Grootboekschema!$A$1:$B$129,2,0), 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R8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8" customWidth="1" min="4" max="4"/>
  </cols>
  <sheetData>
    <row r="2">
      <c r="E2" s="1" t="inlineStr">
        <is>
          <t>Beginbalans</t>
        </is>
      </c>
      <c r="H2" s="1" t="inlineStr">
        <is>
          <t>Mutaties</t>
        </is>
      </c>
      <c r="K2" s="1" t="inlineStr">
        <is>
          <t>Proefbalans</t>
        </is>
      </c>
      <c r="N2" s="1" t="inlineStr">
        <is>
          <t>V&amp;W</t>
        </is>
      </c>
      <c r="Q2" s="1" t="inlineStr">
        <is>
          <t>Eindbalans</t>
        </is>
      </c>
    </row>
    <row r="3">
      <c r="A3" s="1" t="inlineStr">
        <is>
          <t>Rekening</t>
        </is>
      </c>
      <c r="B3" s="1" t="inlineStr">
        <is>
          <t>Naam rekening</t>
        </is>
      </c>
      <c r="D3" s="1" t="inlineStr">
        <is>
          <t>Type</t>
        </is>
      </c>
      <c r="E3" s="1" t="inlineStr">
        <is>
          <t>Debet</t>
        </is>
      </c>
      <c r="F3" s="1" t="inlineStr">
        <is>
          <t>Credit</t>
        </is>
      </c>
      <c r="H3" s="1" t="inlineStr">
        <is>
          <t>Debet</t>
        </is>
      </c>
      <c r="I3" s="1" t="inlineStr">
        <is>
          <t>Credit</t>
        </is>
      </c>
      <c r="K3" s="1" t="inlineStr">
        <is>
          <t>Debet</t>
        </is>
      </c>
      <c r="L3" s="1" t="inlineStr">
        <is>
          <t>Credit</t>
        </is>
      </c>
      <c r="N3" s="1" t="inlineStr">
        <is>
          <t>Debet</t>
        </is>
      </c>
      <c r="O3" s="1" t="inlineStr">
        <is>
          <t>Credit</t>
        </is>
      </c>
      <c r="Q3" s="1" t="inlineStr">
        <is>
          <t>Debet</t>
        </is>
      </c>
      <c r="R3" s="1" t="inlineStr">
        <is>
          <t>Credit</t>
        </is>
      </c>
    </row>
    <row r="4">
      <c r="A4" t="n">
        <v>50</v>
      </c>
      <c r="B4">
        <f>IFERROR(VLOOKUP(A4,Grootboekschema!$A$1:$B$129,2,0), "")</f>
        <v/>
      </c>
      <c r="D4" t="inlineStr">
        <is>
          <t>Balans</t>
        </is>
      </c>
      <c r="E4" t="n">
        <v>0</v>
      </c>
      <c r="F4" t="n">
        <v>0</v>
      </c>
      <c r="H4">
        <f>SUMIF(Journaal!$A$4:$A$2003,A4,Journaal!$E$4:$E$2003)</f>
        <v/>
      </c>
      <c r="I4">
        <f>SUMIF(Journaal!$A$4:$A$2003,A4,Journaal!$F$4:$F$2003)</f>
        <v/>
      </c>
      <c r="K4">
        <f>IF((E4-F4+H4-I4)&gt;0,E4-F4+H4-I4,0)</f>
        <v/>
      </c>
      <c r="L4">
        <f>IF((F4-E4+I4-H4)&gt;0,F4-E4+I4-H4,0)</f>
        <v/>
      </c>
      <c r="Q4">
        <f>K4</f>
        <v/>
      </c>
      <c r="R4">
        <f>L4</f>
        <v/>
      </c>
    </row>
    <row r="5">
      <c r="A5" t="n">
        <v>60</v>
      </c>
      <c r="B5">
        <f>IFERROR(VLOOKUP(A5,Grootboekschema!$A$1:$B$129,2,0), "")</f>
        <v/>
      </c>
      <c r="D5" t="inlineStr">
        <is>
          <t>Balans</t>
        </is>
      </c>
      <c r="E5" t="n">
        <v>0</v>
      </c>
      <c r="F5" t="n">
        <v>0</v>
      </c>
      <c r="H5">
        <f>SUMIF(Journaal!$A$4:$A$2003,A5,Journaal!$E$4:$E$2003)</f>
        <v/>
      </c>
      <c r="I5">
        <f>SUMIF(Journaal!$A$4:$A$2003,A5,Journaal!$F$4:$F$2003)</f>
        <v/>
      </c>
      <c r="K5">
        <f>IF((E5-F5+H5-I5)&gt;0,E5-F5+H5-I5,0)</f>
        <v/>
      </c>
      <c r="L5">
        <f>IF((F5-E5+I5-H5)&gt;0,F5-E5+I5-H5,0)</f>
        <v/>
      </c>
      <c r="Q5">
        <f>K5</f>
        <v/>
      </c>
      <c r="R5">
        <f>L5</f>
        <v/>
      </c>
    </row>
    <row r="6">
      <c r="A6" t="n">
        <v>70</v>
      </c>
      <c r="B6">
        <f>IFERROR(VLOOKUP(A6,Grootboekschema!$A$1:$B$129,2,0), "")</f>
        <v/>
      </c>
      <c r="D6" t="inlineStr">
        <is>
          <t>Balans</t>
        </is>
      </c>
      <c r="E6" t="n">
        <v>0</v>
      </c>
      <c r="F6" t="n">
        <v>0</v>
      </c>
      <c r="H6">
        <f>SUMIF(Journaal!$A$4:$A$2003,A6,Journaal!$E$4:$E$2003)</f>
        <v/>
      </c>
      <c r="I6">
        <f>SUMIF(Journaal!$A$4:$A$2003,A6,Journaal!$F$4:$F$2003)</f>
        <v/>
      </c>
      <c r="K6">
        <f>IF((E6-F6+H6-I6)&gt;0,E6-F6+H6-I6,0)</f>
        <v/>
      </c>
      <c r="L6">
        <f>IF((F6-E6+I6-H6)&gt;0,F6-E6+I6-H6,0)</f>
        <v/>
      </c>
      <c r="Q6">
        <f>K6</f>
        <v/>
      </c>
      <c r="R6">
        <f>L6</f>
        <v/>
      </c>
    </row>
    <row r="7">
      <c r="A7" t="n">
        <v>71</v>
      </c>
      <c r="B7">
        <f>IFERROR(VLOOKUP(A7,Grootboekschema!$A$1:$B$129,2,0), "")</f>
        <v/>
      </c>
      <c r="D7" t="inlineStr">
        <is>
          <t>Balans</t>
        </is>
      </c>
      <c r="E7" t="n">
        <v>0</v>
      </c>
      <c r="F7" t="n">
        <v>0</v>
      </c>
      <c r="H7">
        <f>SUMIF(Journaal!$A$4:$A$2003,A7,Journaal!$E$4:$E$2003)</f>
        <v/>
      </c>
      <c r="I7">
        <f>SUMIF(Journaal!$A$4:$A$2003,A7,Journaal!$F$4:$F$2003)</f>
        <v/>
      </c>
      <c r="K7">
        <f>IF((E7-F7+H7-I7)&gt;0,E7-F7+H7-I7,0)</f>
        <v/>
      </c>
      <c r="L7">
        <f>IF((F7-E7+I7-H7)&gt;0,F7-E7+I7-H7,0)</f>
        <v/>
      </c>
      <c r="Q7">
        <f>K7</f>
        <v/>
      </c>
      <c r="R7">
        <f>L7</f>
        <v/>
      </c>
    </row>
    <row r="8">
      <c r="A8" t="n">
        <v>72</v>
      </c>
      <c r="B8">
        <f>IFERROR(VLOOKUP(A8,Grootboekschema!$A$1:$B$129,2,0), "")</f>
        <v/>
      </c>
      <c r="D8" t="inlineStr">
        <is>
          <t>Balans</t>
        </is>
      </c>
      <c r="E8" t="n">
        <v>0</v>
      </c>
      <c r="F8" t="n">
        <v>0</v>
      </c>
      <c r="H8">
        <f>SUMIF(Journaal!$A$4:$A$2003,A8,Journaal!$E$4:$E$2003)</f>
        <v/>
      </c>
      <c r="I8">
        <f>SUMIF(Journaal!$A$4:$A$2003,A8,Journaal!$F$4:$F$2003)</f>
        <v/>
      </c>
      <c r="K8">
        <f>IF((E8-F8+H8-I8)&gt;0,E8-F8+H8-I8,0)</f>
        <v/>
      </c>
      <c r="L8">
        <f>IF((F8-E8+I8-H8)&gt;0,F8-E8+I8-H8,0)</f>
        <v/>
      </c>
      <c r="Q8">
        <f>K8</f>
        <v/>
      </c>
      <c r="R8">
        <f>L8</f>
        <v/>
      </c>
    </row>
    <row r="9">
      <c r="A9" t="n">
        <v>73</v>
      </c>
      <c r="B9">
        <f>IFERROR(VLOOKUP(A9,Grootboekschema!$A$1:$B$129,2,0), "")</f>
        <v/>
      </c>
      <c r="D9" t="inlineStr">
        <is>
          <t>Balans</t>
        </is>
      </c>
      <c r="E9" t="n">
        <v>0</v>
      </c>
      <c r="F9" t="n">
        <v>0</v>
      </c>
      <c r="H9">
        <f>SUMIF(Journaal!$A$4:$A$2003,A9,Journaal!$E$4:$E$2003)</f>
        <v/>
      </c>
      <c r="I9">
        <f>SUMIF(Journaal!$A$4:$A$2003,A9,Journaal!$F$4:$F$2003)</f>
        <v/>
      </c>
      <c r="K9">
        <f>IF((E9-F9+H9-I9)&gt;0,E9-F9+H9-I9,0)</f>
        <v/>
      </c>
      <c r="L9">
        <f>IF((F9-E9+I9-H9)&gt;0,F9-E9+I9-H9,0)</f>
        <v/>
      </c>
      <c r="Q9">
        <f>K9</f>
        <v/>
      </c>
      <c r="R9">
        <f>L9</f>
        <v/>
      </c>
    </row>
    <row r="10">
      <c r="A10" t="n">
        <v>100</v>
      </c>
      <c r="B10">
        <f>IFERROR(VLOOKUP(A10,Grootboekschema!$A$1:$B$129,2,0), "")</f>
        <v/>
      </c>
      <c r="D10" t="inlineStr">
        <is>
          <t>Balans</t>
        </is>
      </c>
      <c r="E10" t="n">
        <v>0</v>
      </c>
      <c r="F10" t="n">
        <v>0</v>
      </c>
      <c r="H10">
        <f>SUMIF(Journaal!$A$4:$A$2003,A10,Journaal!$E$4:$E$2003)</f>
        <v/>
      </c>
      <c r="I10">
        <f>SUMIF(Journaal!$A$4:$A$2003,A10,Journaal!$F$4:$F$2003)</f>
        <v/>
      </c>
      <c r="K10">
        <f>IF((E10-F10+H10-I10)&gt;0,E10-F10+H10-I10,0)</f>
        <v/>
      </c>
      <c r="L10">
        <f>IF((F10-E10+I10-H10)&gt;0,F10-E10+I10-H10,0)</f>
        <v/>
      </c>
      <c r="Q10">
        <f>K10</f>
        <v/>
      </c>
      <c r="R10">
        <f>L10</f>
        <v/>
      </c>
    </row>
    <row r="11">
      <c r="A11" t="n">
        <v>109</v>
      </c>
      <c r="B11">
        <f>IFERROR(VLOOKUP(A11,Grootboekschema!$A$1:$B$129,2,0), "")</f>
        <v/>
      </c>
      <c r="D11" t="inlineStr">
        <is>
          <t>Balans</t>
        </is>
      </c>
      <c r="E11" t="n">
        <v>0</v>
      </c>
      <c r="F11" t="n">
        <v>0</v>
      </c>
      <c r="H11">
        <f>SUMIF(Journaal!$A$4:$A$2003,A11,Journaal!$E$4:$E$2003)</f>
        <v/>
      </c>
      <c r="I11">
        <f>SUMIF(Journaal!$A$4:$A$2003,A11,Journaal!$F$4:$F$2003)</f>
        <v/>
      </c>
      <c r="K11">
        <f>IF((E11-F11+H11-I11)&gt;0,E11-F11+H11-I11,0)</f>
        <v/>
      </c>
      <c r="L11">
        <f>IF((F11-E11+I11-H11)&gt;0,F11-E11+I11-H11,0)</f>
        <v/>
      </c>
      <c r="Q11">
        <f>K11</f>
        <v/>
      </c>
      <c r="R11">
        <f>L11</f>
        <v/>
      </c>
    </row>
    <row r="12">
      <c r="A12" t="n">
        <v>110</v>
      </c>
      <c r="B12">
        <f>IFERROR(VLOOKUP(A12,Grootboekschema!$A$1:$B$129,2,0), "")</f>
        <v/>
      </c>
      <c r="D12" t="inlineStr">
        <is>
          <t>Balans</t>
        </is>
      </c>
      <c r="E12" t="n">
        <v>0</v>
      </c>
      <c r="F12" t="n">
        <v>0</v>
      </c>
      <c r="H12">
        <f>SUMIF(Journaal!$A$4:$A$2003,A12,Journaal!$E$4:$E$2003)</f>
        <v/>
      </c>
      <c r="I12">
        <f>SUMIF(Journaal!$A$4:$A$2003,A12,Journaal!$F$4:$F$2003)</f>
        <v/>
      </c>
      <c r="K12">
        <f>IF((E12-F12+H12-I12)&gt;0,E12-F12+H12-I12,0)</f>
        <v/>
      </c>
      <c r="L12">
        <f>IF((F12-E12+I12-H12)&gt;0,F12-E12+I12-H12,0)</f>
        <v/>
      </c>
      <c r="Q12">
        <f>K12</f>
        <v/>
      </c>
      <c r="R12">
        <f>L12</f>
        <v/>
      </c>
    </row>
    <row r="13">
      <c r="A13" t="n">
        <v>120</v>
      </c>
      <c r="B13">
        <f>IFERROR(VLOOKUP(A13,Grootboekschema!$A$1:$B$129,2,0), "")</f>
        <v/>
      </c>
      <c r="D13" t="inlineStr">
        <is>
          <t>Balans</t>
        </is>
      </c>
      <c r="E13" t="n">
        <v>0</v>
      </c>
      <c r="F13" t="n">
        <v>0</v>
      </c>
      <c r="H13">
        <f>SUMIF(Journaal!$A$4:$A$2003,A13,Journaal!$E$4:$E$2003)</f>
        <v/>
      </c>
      <c r="I13">
        <f>SUMIF(Journaal!$A$4:$A$2003,A13,Journaal!$F$4:$F$2003)</f>
        <v/>
      </c>
      <c r="K13">
        <f>IF((E13-F13+H13-I13)&gt;0,E13-F13+H13-I13,0)</f>
        <v/>
      </c>
      <c r="L13">
        <f>IF((F13-E13+I13-H13)&gt;0,F13-E13+I13-H13,0)</f>
        <v/>
      </c>
      <c r="Q13">
        <f>K13</f>
        <v/>
      </c>
      <c r="R13">
        <f>L13</f>
        <v/>
      </c>
    </row>
    <row r="14">
      <c r="A14" t="n">
        <v>121</v>
      </c>
      <c r="B14">
        <f>IFERROR(VLOOKUP(A14,Grootboekschema!$A$1:$B$129,2,0), "")</f>
        <v/>
      </c>
      <c r="D14" t="inlineStr">
        <is>
          <t>Balans</t>
        </is>
      </c>
      <c r="E14" t="n">
        <v>0</v>
      </c>
      <c r="F14" t="n">
        <v>0</v>
      </c>
      <c r="H14">
        <f>SUMIF(Journaal!$A$4:$A$2003,A14,Journaal!$E$4:$E$2003)</f>
        <v/>
      </c>
      <c r="I14">
        <f>SUMIF(Journaal!$A$4:$A$2003,A14,Journaal!$F$4:$F$2003)</f>
        <v/>
      </c>
      <c r="K14">
        <f>IF((E14-F14+H14-I14)&gt;0,E14-F14+H14-I14,0)</f>
        <v/>
      </c>
      <c r="L14">
        <f>IF((F14-E14+I14-H14)&gt;0,F14-E14+I14-H14,0)</f>
        <v/>
      </c>
      <c r="Q14">
        <f>K14</f>
        <v/>
      </c>
      <c r="R14">
        <f>L14</f>
        <v/>
      </c>
    </row>
    <row r="15">
      <c r="A15" t="n">
        <v>129</v>
      </c>
      <c r="B15">
        <f>IFERROR(VLOOKUP(A15,Grootboekschema!$A$1:$B$129,2,0), "")</f>
        <v/>
      </c>
      <c r="D15" t="inlineStr">
        <is>
          <t>Balans</t>
        </is>
      </c>
      <c r="E15" t="n">
        <v>0</v>
      </c>
      <c r="F15" t="n">
        <v>0</v>
      </c>
      <c r="H15">
        <f>SUMIF(Journaal!$A$4:$A$2003,A15,Journaal!$E$4:$E$2003)</f>
        <v/>
      </c>
      <c r="I15">
        <f>SUMIF(Journaal!$A$4:$A$2003,A15,Journaal!$F$4:$F$2003)</f>
        <v/>
      </c>
      <c r="K15">
        <f>IF((E15-F15+H15-I15)&gt;0,E15-F15+H15-I15,0)</f>
        <v/>
      </c>
      <c r="L15">
        <f>IF((F15-E15+I15-H15)&gt;0,F15-E15+I15-H15,0)</f>
        <v/>
      </c>
      <c r="Q15">
        <f>K15</f>
        <v/>
      </c>
      <c r="R15">
        <f>L15</f>
        <v/>
      </c>
    </row>
    <row r="16">
      <c r="A16" t="n">
        <v>140</v>
      </c>
      <c r="B16">
        <f>IFERROR(VLOOKUP(A16,Grootboekschema!$A$1:$B$129,2,0), "")</f>
        <v/>
      </c>
      <c r="D16" t="inlineStr">
        <is>
          <t>Balans</t>
        </is>
      </c>
      <c r="E16" t="n">
        <v>0</v>
      </c>
      <c r="F16" t="n">
        <v>0</v>
      </c>
      <c r="H16">
        <f>SUMIF(Journaal!$A$4:$A$2003,A16,Journaal!$E$4:$E$2003)</f>
        <v/>
      </c>
      <c r="I16">
        <f>SUMIF(Journaal!$A$4:$A$2003,A16,Journaal!$F$4:$F$2003)</f>
        <v/>
      </c>
      <c r="K16">
        <f>IF((E16-F16+H16-I16)&gt;0,E16-F16+H16-I16,0)</f>
        <v/>
      </c>
      <c r="L16">
        <f>IF((F16-E16+I16-H16)&gt;0,F16-E16+I16-H16,0)</f>
        <v/>
      </c>
      <c r="Q16">
        <f>K16</f>
        <v/>
      </c>
      <c r="R16">
        <f>L16</f>
        <v/>
      </c>
    </row>
    <row r="17">
      <c r="A17" t="n">
        <v>160</v>
      </c>
      <c r="B17">
        <f>IFERROR(VLOOKUP(A17,Grootboekschema!$A$1:$B$129,2,0), "")</f>
        <v/>
      </c>
      <c r="D17" t="inlineStr">
        <is>
          <t>Balans</t>
        </is>
      </c>
      <c r="E17" t="n">
        <v>0</v>
      </c>
      <c r="F17" t="n">
        <v>0</v>
      </c>
      <c r="H17">
        <f>SUMIF(Journaal!$A$4:$A$2003,A17,Journaal!$E$4:$E$2003)</f>
        <v/>
      </c>
      <c r="I17">
        <f>SUMIF(Journaal!$A$4:$A$2003,A17,Journaal!$F$4:$F$2003)</f>
        <v/>
      </c>
      <c r="K17">
        <f>IF((E17-F17+H17-I17)&gt;0,E17-F17+H17-I17,0)</f>
        <v/>
      </c>
      <c r="L17">
        <f>IF((F17-E17+I17-H17)&gt;0,F17-E17+I17-H17,0)</f>
        <v/>
      </c>
      <c r="Q17">
        <f>K17</f>
        <v/>
      </c>
      <c r="R17">
        <f>L17</f>
        <v/>
      </c>
    </row>
    <row r="18">
      <c r="A18" t="n">
        <v>162</v>
      </c>
      <c r="B18">
        <f>IFERROR(VLOOKUP(A18,Grootboekschema!$A$1:$B$129,2,0), "")</f>
        <v/>
      </c>
      <c r="D18" t="inlineStr">
        <is>
          <t>Balans</t>
        </is>
      </c>
      <c r="E18" t="n">
        <v>0</v>
      </c>
      <c r="F18" t="n">
        <v>0</v>
      </c>
      <c r="H18">
        <f>SUMIF(Journaal!$A$4:$A$2003,A18,Journaal!$E$4:$E$2003)</f>
        <v/>
      </c>
      <c r="I18">
        <f>SUMIF(Journaal!$A$4:$A$2003,A18,Journaal!$F$4:$F$2003)</f>
        <v/>
      </c>
      <c r="K18">
        <f>IF((E18-F18+H18-I18)&gt;0,E18-F18+H18-I18,0)</f>
        <v/>
      </c>
      <c r="L18">
        <f>IF((F18-E18+I18-H18)&gt;0,F18-E18+I18-H18,0)</f>
        <v/>
      </c>
      <c r="Q18">
        <f>K18</f>
        <v/>
      </c>
      <c r="R18">
        <f>L18</f>
        <v/>
      </c>
    </row>
    <row r="19">
      <c r="A19" t="n">
        <v>164</v>
      </c>
      <c r="B19">
        <f>IFERROR(VLOOKUP(A19,Grootboekschema!$A$1:$B$129,2,0), "")</f>
        <v/>
      </c>
      <c r="D19" t="inlineStr">
        <is>
          <t>Balans</t>
        </is>
      </c>
      <c r="E19" t="n">
        <v>0</v>
      </c>
      <c r="F19" t="n">
        <v>0</v>
      </c>
      <c r="H19">
        <f>SUMIF(Journaal!$A$4:$A$2003,A19,Journaal!$E$4:$E$2003)</f>
        <v/>
      </c>
      <c r="I19">
        <f>SUMIF(Journaal!$A$4:$A$2003,A19,Journaal!$F$4:$F$2003)</f>
        <v/>
      </c>
      <c r="K19">
        <f>IF((E19-F19+H19-I19)&gt;0,E19-F19+H19-I19,0)</f>
        <v/>
      </c>
      <c r="L19">
        <f>IF((F19-E19+I19-H19)&gt;0,F19-E19+I19-H19,0)</f>
        <v/>
      </c>
      <c r="Q19">
        <f>K19</f>
        <v/>
      </c>
      <c r="R19">
        <f>L19</f>
        <v/>
      </c>
    </row>
    <row r="20">
      <c r="A20" t="n">
        <v>165</v>
      </c>
      <c r="B20">
        <f>IFERROR(VLOOKUP(A20,Grootboekschema!$A$1:$B$129,2,0), "")</f>
        <v/>
      </c>
      <c r="D20" t="inlineStr">
        <is>
          <t>Balans</t>
        </is>
      </c>
      <c r="E20" t="n">
        <v>0</v>
      </c>
      <c r="F20" t="n">
        <v>0</v>
      </c>
      <c r="H20">
        <f>SUMIF(Journaal!$A$4:$A$2003,A20,Journaal!$E$4:$E$2003)</f>
        <v/>
      </c>
      <c r="I20">
        <f>SUMIF(Journaal!$A$4:$A$2003,A20,Journaal!$F$4:$F$2003)</f>
        <v/>
      </c>
      <c r="K20">
        <f>IF((E20-F20+H20-I20)&gt;0,E20-F20+H20-I20,0)</f>
        <v/>
      </c>
      <c r="L20">
        <f>IF((F20-E20+I20-H20)&gt;0,F20-E20+I20-H20,0)</f>
        <v/>
      </c>
      <c r="Q20">
        <f>K20</f>
        <v/>
      </c>
      <c r="R20">
        <f>L20</f>
        <v/>
      </c>
    </row>
    <row r="21">
      <c r="A21" t="n">
        <v>170</v>
      </c>
      <c r="B21">
        <f>IFERROR(VLOOKUP(A21,Grootboekschema!$A$1:$B$129,2,0), "")</f>
        <v/>
      </c>
      <c r="D21" t="inlineStr">
        <is>
          <t>Balans</t>
        </is>
      </c>
      <c r="E21" t="n">
        <v>0</v>
      </c>
      <c r="F21" t="n">
        <v>0</v>
      </c>
      <c r="H21">
        <f>SUMIF(Journaal!$A$4:$A$2003,A21,Journaal!$E$4:$E$2003)</f>
        <v/>
      </c>
      <c r="I21">
        <f>SUMIF(Journaal!$A$4:$A$2003,A21,Journaal!$F$4:$F$2003)</f>
        <v/>
      </c>
      <c r="K21">
        <f>IF((E21-F21+H21-I21)&gt;0,E21-F21+H21-I21,0)</f>
        <v/>
      </c>
      <c r="L21">
        <f>IF((F21-E21+I21-H21)&gt;0,F21-E21+I21-H21,0)</f>
        <v/>
      </c>
      <c r="Q21">
        <f>K21</f>
        <v/>
      </c>
      <c r="R21">
        <f>L21</f>
        <v/>
      </c>
    </row>
    <row r="22">
      <c r="A22" t="n">
        <v>171</v>
      </c>
      <c r="B22">
        <f>IFERROR(VLOOKUP(A22,Grootboekschema!$A$1:$B$129,2,0), "")</f>
        <v/>
      </c>
      <c r="D22" t="inlineStr">
        <is>
          <t>Balans</t>
        </is>
      </c>
      <c r="E22" t="n">
        <v>0</v>
      </c>
      <c r="F22" t="n">
        <v>0</v>
      </c>
      <c r="H22">
        <f>SUMIF(Journaal!$A$4:$A$2003,A22,Journaal!$E$4:$E$2003)</f>
        <v/>
      </c>
      <c r="I22">
        <f>SUMIF(Journaal!$A$4:$A$2003,A22,Journaal!$F$4:$F$2003)</f>
        <v/>
      </c>
      <c r="K22">
        <f>IF((E22-F22+H22-I22)&gt;0,E22-F22+H22-I22,0)</f>
        <v/>
      </c>
      <c r="L22">
        <f>IF((F22-E22+I22-H22)&gt;0,F22-E22+I22-H22,0)</f>
        <v/>
      </c>
      <c r="Q22">
        <f>K22</f>
        <v/>
      </c>
      <c r="R22">
        <f>L22</f>
        <v/>
      </c>
    </row>
    <row r="23">
      <c r="A23" t="n">
        <v>197</v>
      </c>
      <c r="B23">
        <f>IFERROR(VLOOKUP(A23,Grootboekschema!$A$1:$B$129,2,0), "")</f>
        <v/>
      </c>
      <c r="D23" t="inlineStr">
        <is>
          <t>Balans</t>
        </is>
      </c>
      <c r="E23" t="n">
        <v>0</v>
      </c>
      <c r="F23" t="n">
        <v>0</v>
      </c>
      <c r="H23">
        <f>SUMIF(Journaal!$A$4:$A$2003,A23,Journaal!$E$4:$E$2003)</f>
        <v/>
      </c>
      <c r="I23">
        <f>SUMIF(Journaal!$A$4:$A$2003,A23,Journaal!$F$4:$F$2003)</f>
        <v/>
      </c>
      <c r="K23">
        <f>IF((E23-F23+H23-I23)&gt;0,E23-F23+H23-I23,0)</f>
        <v/>
      </c>
      <c r="L23">
        <f>IF((F23-E23+I23-H23)&gt;0,F23-E23+I23-H23,0)</f>
        <v/>
      </c>
      <c r="Q23">
        <f>K23</f>
        <v/>
      </c>
      <c r="R23">
        <f>L23</f>
        <v/>
      </c>
    </row>
    <row r="24">
      <c r="A24" t="n">
        <v>199</v>
      </c>
      <c r="B24">
        <f>IFERROR(VLOOKUP(A24,Grootboekschema!$A$1:$B$129,2,0), "")</f>
        <v/>
      </c>
      <c r="D24" t="inlineStr">
        <is>
          <t>Balans</t>
        </is>
      </c>
      <c r="E24" t="n">
        <v>0</v>
      </c>
      <c r="F24" t="n">
        <v>0</v>
      </c>
      <c r="H24">
        <f>SUMIF(Journaal!$A$4:$A$2003,A24,Journaal!$E$4:$E$2003)</f>
        <v/>
      </c>
      <c r="I24">
        <f>SUMIF(Journaal!$A$4:$A$2003,A24,Journaal!$F$4:$F$2003)</f>
        <v/>
      </c>
      <c r="K24">
        <f>IF((E24-F24+H24-I24)&gt;0,E24-F24+H24-I24,0)</f>
        <v/>
      </c>
      <c r="L24">
        <f>IF((F24-E24+I24-H24)&gt;0,F24-E24+I24-H24,0)</f>
        <v/>
      </c>
      <c r="Q24">
        <f>K24</f>
        <v/>
      </c>
      <c r="R24">
        <f>L24</f>
        <v/>
      </c>
    </row>
    <row r="25">
      <c r="A25" t="n">
        <v>200</v>
      </c>
      <c r="B25">
        <f>IFERROR(VLOOKUP(A25,Grootboekschema!$A$1:$B$129,2,0), "")</f>
        <v/>
      </c>
      <c r="D25" t="inlineStr">
        <is>
          <t>Balans</t>
        </is>
      </c>
      <c r="E25" t="n">
        <v>0</v>
      </c>
      <c r="F25" t="n">
        <v>0</v>
      </c>
      <c r="H25">
        <f>SUMIF(Journaal!$A$4:$A$2003,A25,Journaal!$E$4:$E$2003)</f>
        <v/>
      </c>
      <c r="I25">
        <f>SUMIF(Journaal!$A$4:$A$2003,A25,Journaal!$F$4:$F$2003)</f>
        <v/>
      </c>
      <c r="K25">
        <f>IF((E25-F25+H25-I25)&gt;0,E25-F25+H25-I25,0)</f>
        <v/>
      </c>
      <c r="L25">
        <f>IF((F25-E25+I25-H25)&gt;0,F25-E25+I25-H25,0)</f>
        <v/>
      </c>
      <c r="Q25">
        <f>K25</f>
        <v/>
      </c>
      <c r="R25">
        <f>L25</f>
        <v/>
      </c>
    </row>
    <row r="26">
      <c r="A26" t="n">
        <v>210</v>
      </c>
      <c r="B26">
        <f>IFERROR(VLOOKUP(A26,Grootboekschema!$A$1:$B$129,2,0), "")</f>
        <v/>
      </c>
      <c r="D26" t="inlineStr">
        <is>
          <t>V&amp;W</t>
        </is>
      </c>
      <c r="E26" t="n">
        <v>0</v>
      </c>
      <c r="F26" t="n">
        <v>0</v>
      </c>
      <c r="H26">
        <f>SUMIF(Journaal!$A$4:$A$2003,A26,Journaal!$E$4:$E$2003)</f>
        <v/>
      </c>
      <c r="I26">
        <f>SUMIF(Journaal!$A$4:$A$2003,A26,Journaal!$F$4:$F$2003)</f>
        <v/>
      </c>
      <c r="K26">
        <f>IF((E26-F26+H26-I26)&gt;0,E26-F26+H26-I26,0)</f>
        <v/>
      </c>
      <c r="L26">
        <f>IF((F26-E26+I26-H26)&gt;0,F26-E26+I26-H26,0)</f>
        <v/>
      </c>
      <c r="N26">
        <f>K26</f>
        <v/>
      </c>
      <c r="O26">
        <f>L26</f>
        <v/>
      </c>
    </row>
    <row r="27">
      <c r="A27" t="n">
        <v>215</v>
      </c>
      <c r="B27">
        <f>IFERROR(VLOOKUP(A27,Grootboekschema!$A$1:$B$129,2,0), "")</f>
        <v/>
      </c>
      <c r="D27" t="inlineStr">
        <is>
          <t>V&amp;W</t>
        </is>
      </c>
      <c r="E27" t="n">
        <v>0</v>
      </c>
      <c r="F27" t="n">
        <v>0</v>
      </c>
      <c r="H27">
        <f>SUMIF(Journaal!$A$4:$A$2003,A27,Journaal!$E$4:$E$2003)</f>
        <v/>
      </c>
      <c r="I27">
        <f>SUMIF(Journaal!$A$4:$A$2003,A27,Journaal!$F$4:$F$2003)</f>
        <v/>
      </c>
      <c r="K27">
        <f>IF((E27-F27+H27-I27)&gt;0,E27-F27+H27-I27,0)</f>
        <v/>
      </c>
      <c r="L27">
        <f>IF((F27-E27+I27-H27)&gt;0,F27-E27+I27-H27,0)</f>
        <v/>
      </c>
      <c r="N27">
        <f>K27</f>
        <v/>
      </c>
      <c r="O27">
        <f>L27</f>
        <v/>
      </c>
    </row>
    <row r="28">
      <c r="A28" t="n">
        <v>220</v>
      </c>
      <c r="B28">
        <f>IFERROR(VLOOKUP(A28,Grootboekschema!$A$1:$B$129,2,0), "")</f>
        <v/>
      </c>
      <c r="D28" t="inlineStr">
        <is>
          <t>V&amp;W</t>
        </is>
      </c>
      <c r="E28" t="n">
        <v>0</v>
      </c>
      <c r="F28" t="n">
        <v>0</v>
      </c>
      <c r="H28">
        <f>SUMIF(Journaal!$A$4:$A$2003,A28,Journaal!$E$4:$E$2003)</f>
        <v/>
      </c>
      <c r="I28">
        <f>SUMIF(Journaal!$A$4:$A$2003,A28,Journaal!$F$4:$F$2003)</f>
        <v/>
      </c>
      <c r="K28">
        <f>IF((E28-F28+H28-I28)&gt;0,E28-F28+H28-I28,0)</f>
        <v/>
      </c>
      <c r="L28">
        <f>IF((F28-E28+I28-H28)&gt;0,F28-E28+I28-H28,0)</f>
        <v/>
      </c>
      <c r="N28">
        <f>K28</f>
        <v/>
      </c>
      <c r="O28">
        <f>L28</f>
        <v/>
      </c>
    </row>
    <row r="29">
      <c r="A29" t="n">
        <v>225</v>
      </c>
      <c r="B29">
        <f>IFERROR(VLOOKUP(A29,Grootboekschema!$A$1:$B$129,2,0), "")</f>
        <v/>
      </c>
      <c r="D29" t="inlineStr">
        <is>
          <t>Balans</t>
        </is>
      </c>
      <c r="E29" t="n">
        <v>0</v>
      </c>
      <c r="F29" t="n">
        <v>0</v>
      </c>
      <c r="H29">
        <f>SUMIF(Journaal!$A$4:$A$2003,A29,Journaal!$E$4:$E$2003)</f>
        <v/>
      </c>
      <c r="I29">
        <f>SUMIF(Journaal!$A$4:$A$2003,A29,Journaal!$F$4:$F$2003)</f>
        <v/>
      </c>
      <c r="K29">
        <f>IF((E29-F29+H29-I29)&gt;0,E29-F29+H29-I29,0)</f>
        <v/>
      </c>
      <c r="L29">
        <f>IF((F29-E29+I29-H29)&gt;0,F29-E29+I29-H29,0)</f>
        <v/>
      </c>
      <c r="Q29">
        <f>K29</f>
        <v/>
      </c>
      <c r="R29">
        <f>L29</f>
        <v/>
      </c>
    </row>
    <row r="30">
      <c r="A30" t="n">
        <v>265</v>
      </c>
      <c r="B30">
        <f>IFERROR(VLOOKUP(A30,Grootboekschema!$A$1:$B$129,2,0), "")</f>
        <v/>
      </c>
      <c r="D30" t="inlineStr">
        <is>
          <t>V&amp;W</t>
        </is>
      </c>
      <c r="E30" t="n">
        <v>0</v>
      </c>
      <c r="F30" t="n">
        <v>0</v>
      </c>
      <c r="H30">
        <f>SUMIF(Journaal!$A$4:$A$2003,A30,Journaal!$E$4:$E$2003)</f>
        <v/>
      </c>
      <c r="I30">
        <f>SUMIF(Journaal!$A$4:$A$2003,A30,Journaal!$F$4:$F$2003)</f>
        <v/>
      </c>
      <c r="K30">
        <f>IF((E30-F30+H30-I30)&gt;0,E30-F30+H30-I30,0)</f>
        <v/>
      </c>
      <c r="L30">
        <f>IF((F30-E30+I30-H30)&gt;0,F30-E30+I30-H30,0)</f>
        <v/>
      </c>
      <c r="N30">
        <f>K30</f>
        <v/>
      </c>
      <c r="O30">
        <f>L30</f>
        <v/>
      </c>
    </row>
    <row r="31">
      <c r="A31" t="n">
        <v>290</v>
      </c>
      <c r="B31">
        <f>IFERROR(VLOOKUP(A31,Grootboekschema!$A$1:$B$129,2,0), "")</f>
        <v/>
      </c>
      <c r="D31" t="inlineStr">
        <is>
          <t>V&amp;W</t>
        </is>
      </c>
      <c r="E31" t="n">
        <v>0</v>
      </c>
      <c r="F31" t="n">
        <v>0</v>
      </c>
      <c r="H31">
        <f>SUMIF(Journaal!$A$4:$A$2003,A31,Journaal!$E$4:$E$2003)</f>
        <v/>
      </c>
      <c r="I31">
        <f>SUMIF(Journaal!$A$4:$A$2003,A31,Journaal!$F$4:$F$2003)</f>
        <v/>
      </c>
      <c r="K31">
        <f>IF((E31-F31+H31-I31)&gt;0,E31-F31+H31-I31,0)</f>
        <v/>
      </c>
      <c r="L31">
        <f>IF((F31-E31+I31-H31)&gt;0,F31-E31+I31-H31,0)</f>
        <v/>
      </c>
      <c r="N31">
        <f>K31</f>
        <v/>
      </c>
      <c r="O31">
        <f>L31</f>
        <v/>
      </c>
    </row>
    <row r="32">
      <c r="A32" t="n">
        <v>293</v>
      </c>
      <c r="B32">
        <f>IFERROR(VLOOKUP(A32,Grootboekschema!$A$1:$B$129,2,0), "")</f>
        <v/>
      </c>
      <c r="D32" t="inlineStr">
        <is>
          <t>V&amp;W</t>
        </is>
      </c>
      <c r="E32" t="n">
        <v>0</v>
      </c>
      <c r="F32" t="n">
        <v>0</v>
      </c>
      <c r="H32">
        <f>SUMIF(Journaal!$A$4:$A$2003,A32,Journaal!$E$4:$E$2003)</f>
        <v/>
      </c>
      <c r="I32">
        <f>SUMIF(Journaal!$A$4:$A$2003,A32,Journaal!$F$4:$F$2003)</f>
        <v/>
      </c>
      <c r="K32">
        <f>IF((E32-F32+H32-I32)&gt;0,E32-F32+H32-I32,0)</f>
        <v/>
      </c>
      <c r="L32">
        <f>IF((F32-E32+I32-H32)&gt;0,F32-E32+I32-H32,0)</f>
        <v/>
      </c>
      <c r="N32">
        <f>K32</f>
        <v/>
      </c>
      <c r="O32">
        <f>L32</f>
        <v/>
      </c>
    </row>
    <row r="33">
      <c r="A33" t="n">
        <v>300</v>
      </c>
      <c r="B33">
        <f>IFERROR(VLOOKUP(A33,Grootboekschema!$A$1:$B$129,2,0), "")</f>
        <v/>
      </c>
      <c r="D33" t="inlineStr">
        <is>
          <t>V&amp;W</t>
        </is>
      </c>
      <c r="E33" t="n">
        <v>0</v>
      </c>
      <c r="F33" t="n">
        <v>0</v>
      </c>
      <c r="H33">
        <f>SUMIF(Journaal!$A$4:$A$2003,A33,Journaal!$E$4:$E$2003)</f>
        <v/>
      </c>
      <c r="I33">
        <f>SUMIF(Journaal!$A$4:$A$2003,A33,Journaal!$F$4:$F$2003)</f>
        <v/>
      </c>
      <c r="K33">
        <f>IF((E33-F33+H33-I33)&gt;0,E33-F33+H33-I33,0)</f>
        <v/>
      </c>
      <c r="L33">
        <f>IF((F33-E33+I33-H33)&gt;0,F33-E33+I33-H33,0)</f>
        <v/>
      </c>
      <c r="N33">
        <f>K33</f>
        <v/>
      </c>
      <c r="O33">
        <f>L33</f>
        <v/>
      </c>
    </row>
    <row r="34">
      <c r="A34" t="n">
        <v>301</v>
      </c>
      <c r="B34">
        <f>IFERROR(VLOOKUP(A34,Grootboekschema!$A$1:$B$129,2,0), "")</f>
        <v/>
      </c>
      <c r="D34" t="inlineStr">
        <is>
          <t>V&amp;W</t>
        </is>
      </c>
      <c r="E34" t="n">
        <v>0</v>
      </c>
      <c r="F34" t="n">
        <v>0</v>
      </c>
      <c r="H34">
        <f>SUMIF(Journaal!$A$4:$A$2003,A34,Journaal!$E$4:$E$2003)</f>
        <v/>
      </c>
      <c r="I34">
        <f>SUMIF(Journaal!$A$4:$A$2003,A34,Journaal!$F$4:$F$2003)</f>
        <v/>
      </c>
      <c r="K34">
        <f>IF((E34-F34+H34-I34)&gt;0,E34-F34+H34-I34,0)</f>
        <v/>
      </c>
      <c r="L34">
        <f>IF((F34-E34+I34-H34)&gt;0,F34-E34+I34-H34,0)</f>
        <v/>
      </c>
      <c r="N34">
        <f>K34</f>
        <v/>
      </c>
      <c r="O34">
        <f>L34</f>
        <v/>
      </c>
    </row>
    <row r="35">
      <c r="A35" t="n">
        <v>302</v>
      </c>
      <c r="B35">
        <f>IFERROR(VLOOKUP(A35,Grootboekschema!$A$1:$B$129,2,0), "")</f>
        <v/>
      </c>
      <c r="D35" t="inlineStr">
        <is>
          <t>V&amp;W</t>
        </is>
      </c>
      <c r="E35" t="n">
        <v>0</v>
      </c>
      <c r="F35" t="n">
        <v>0</v>
      </c>
      <c r="H35">
        <f>SUMIF(Journaal!$A$4:$A$2003,A35,Journaal!$E$4:$E$2003)</f>
        <v/>
      </c>
      <c r="I35">
        <f>SUMIF(Journaal!$A$4:$A$2003,A35,Journaal!$F$4:$F$2003)</f>
        <v/>
      </c>
      <c r="K35">
        <f>IF((E35-F35+H35-I35)&gt;0,E35-F35+H35-I35,0)</f>
        <v/>
      </c>
      <c r="L35">
        <f>IF((F35-E35+I35-H35)&gt;0,F35-E35+I35-H35,0)</f>
        <v/>
      </c>
      <c r="N35">
        <f>K35</f>
        <v/>
      </c>
      <c r="O35">
        <f>L35</f>
        <v/>
      </c>
    </row>
    <row r="36">
      <c r="A36" t="n">
        <v>303</v>
      </c>
      <c r="B36">
        <f>IFERROR(VLOOKUP(A36,Grootboekschema!$A$1:$B$129,2,0), "")</f>
        <v/>
      </c>
      <c r="D36" t="inlineStr">
        <is>
          <t>V&amp;W</t>
        </is>
      </c>
      <c r="E36" t="n">
        <v>0</v>
      </c>
      <c r="F36" t="n">
        <v>0</v>
      </c>
      <c r="H36">
        <f>SUMIF(Journaal!$A$4:$A$2003,A36,Journaal!$E$4:$E$2003)</f>
        <v/>
      </c>
      <c r="I36">
        <f>SUMIF(Journaal!$A$4:$A$2003,A36,Journaal!$F$4:$F$2003)</f>
        <v/>
      </c>
      <c r="K36">
        <f>IF((E36-F36+H36-I36)&gt;0,E36-F36+H36-I36,0)</f>
        <v/>
      </c>
      <c r="L36">
        <f>IF((F36-E36+I36-H36)&gt;0,F36-E36+I36-H36,0)</f>
        <v/>
      </c>
      <c r="N36">
        <f>K36</f>
        <v/>
      </c>
      <c r="O36">
        <f>L36</f>
        <v/>
      </c>
    </row>
    <row r="37">
      <c r="A37" t="n">
        <v>304</v>
      </c>
      <c r="B37">
        <f>IFERROR(VLOOKUP(A37,Grootboekschema!$A$1:$B$129,2,0), "")</f>
        <v/>
      </c>
      <c r="D37" t="inlineStr">
        <is>
          <t>V&amp;W</t>
        </is>
      </c>
      <c r="E37" t="n">
        <v>0</v>
      </c>
      <c r="F37" t="n">
        <v>0</v>
      </c>
      <c r="H37">
        <f>SUMIF(Journaal!$A$4:$A$2003,A37,Journaal!$E$4:$E$2003)</f>
        <v/>
      </c>
      <c r="I37">
        <f>SUMIF(Journaal!$A$4:$A$2003,A37,Journaal!$F$4:$F$2003)</f>
        <v/>
      </c>
      <c r="K37">
        <f>IF((E37-F37+H37-I37)&gt;0,E37-F37+H37-I37,0)</f>
        <v/>
      </c>
      <c r="L37">
        <f>IF((F37-E37+I37-H37)&gt;0,F37-E37+I37-H37,0)</f>
        <v/>
      </c>
      <c r="N37">
        <f>K37</f>
        <v/>
      </c>
      <c r="O37">
        <f>L37</f>
        <v/>
      </c>
    </row>
    <row r="38">
      <c r="A38" t="n">
        <v>305</v>
      </c>
      <c r="B38">
        <f>IFERROR(VLOOKUP(A38,Grootboekschema!$A$1:$B$129,2,0), "")</f>
        <v/>
      </c>
      <c r="D38" t="inlineStr">
        <is>
          <t>V&amp;W</t>
        </is>
      </c>
      <c r="E38" t="n">
        <v>0</v>
      </c>
      <c r="F38" t="n">
        <v>0</v>
      </c>
      <c r="H38">
        <f>SUMIF(Journaal!$A$4:$A$2003,A38,Journaal!$E$4:$E$2003)</f>
        <v/>
      </c>
      <c r="I38">
        <f>SUMIF(Journaal!$A$4:$A$2003,A38,Journaal!$F$4:$F$2003)</f>
        <v/>
      </c>
      <c r="K38">
        <f>IF((E38-F38+H38-I38)&gt;0,E38-F38+H38-I38,0)</f>
        <v/>
      </c>
      <c r="L38">
        <f>IF((F38-E38+I38-H38)&gt;0,F38-E38+I38-H38,0)</f>
        <v/>
      </c>
      <c r="N38">
        <f>K38</f>
        <v/>
      </c>
      <c r="O38">
        <f>L38</f>
        <v/>
      </c>
    </row>
    <row r="39">
      <c r="A39" t="n">
        <v>307</v>
      </c>
      <c r="B39">
        <f>IFERROR(VLOOKUP(A39,Grootboekschema!$A$1:$B$129,2,0), "")</f>
        <v/>
      </c>
      <c r="D39" t="inlineStr">
        <is>
          <t>V&amp;W</t>
        </is>
      </c>
      <c r="E39" t="n">
        <v>0</v>
      </c>
      <c r="F39" t="n">
        <v>0</v>
      </c>
      <c r="H39">
        <f>SUMIF(Journaal!$A$4:$A$2003,A39,Journaal!$E$4:$E$2003)</f>
        <v/>
      </c>
      <c r="I39">
        <f>SUMIF(Journaal!$A$4:$A$2003,A39,Journaal!$F$4:$F$2003)</f>
        <v/>
      </c>
      <c r="K39">
        <f>IF((E39-F39+H39-I39)&gt;0,E39-F39+H39-I39,0)</f>
        <v/>
      </c>
      <c r="L39">
        <f>IF((F39-E39+I39-H39)&gt;0,F39-E39+I39-H39,0)</f>
        <v/>
      </c>
      <c r="N39">
        <f>K39</f>
        <v/>
      </c>
      <c r="O39">
        <f>L39</f>
        <v/>
      </c>
    </row>
    <row r="40">
      <c r="A40" t="n">
        <v>309</v>
      </c>
      <c r="B40">
        <f>IFERROR(VLOOKUP(A40,Grootboekschema!$A$1:$B$129,2,0), "")</f>
        <v/>
      </c>
      <c r="D40" t="inlineStr">
        <is>
          <t>V&amp;W</t>
        </is>
      </c>
      <c r="E40" t="n">
        <v>0</v>
      </c>
      <c r="F40" t="n">
        <v>0</v>
      </c>
      <c r="H40">
        <f>SUMIF(Journaal!$A$4:$A$2003,A40,Journaal!$E$4:$E$2003)</f>
        <v/>
      </c>
      <c r="I40">
        <f>SUMIF(Journaal!$A$4:$A$2003,A40,Journaal!$F$4:$F$2003)</f>
        <v/>
      </c>
      <c r="K40">
        <f>IF((E40-F40+H40-I40)&gt;0,E40-F40+H40-I40,0)</f>
        <v/>
      </c>
      <c r="L40">
        <f>IF((F40-E40+I40-H40)&gt;0,F40-E40+I40-H40,0)</f>
        <v/>
      </c>
      <c r="N40">
        <f>K40</f>
        <v/>
      </c>
      <c r="O40">
        <f>L40</f>
        <v/>
      </c>
    </row>
    <row r="41">
      <c r="A41" t="n">
        <v>311</v>
      </c>
      <c r="B41">
        <f>IFERROR(VLOOKUP(A41,Grootboekschema!$A$1:$B$129,2,0), "")</f>
        <v/>
      </c>
      <c r="D41" t="inlineStr">
        <is>
          <t>V&amp;W</t>
        </is>
      </c>
      <c r="E41" t="n">
        <v>0</v>
      </c>
      <c r="F41" t="n">
        <v>0</v>
      </c>
      <c r="H41">
        <f>SUMIF(Journaal!$A$4:$A$2003,A41,Journaal!$E$4:$E$2003)</f>
        <v/>
      </c>
      <c r="I41">
        <f>SUMIF(Journaal!$A$4:$A$2003,A41,Journaal!$F$4:$F$2003)</f>
        <v/>
      </c>
      <c r="K41">
        <f>IF((E41-F41+H41-I41)&gt;0,E41-F41+H41-I41,0)</f>
        <v/>
      </c>
      <c r="L41">
        <f>IF((F41-E41+I41-H41)&gt;0,F41-E41+I41-H41,0)</f>
        <v/>
      </c>
      <c r="N41">
        <f>K41</f>
        <v/>
      </c>
      <c r="O41">
        <f>L41</f>
        <v/>
      </c>
    </row>
    <row r="42">
      <c r="A42" t="n">
        <v>312</v>
      </c>
      <c r="B42">
        <f>IFERROR(VLOOKUP(A42,Grootboekschema!$A$1:$B$129,2,0), "")</f>
        <v/>
      </c>
      <c r="D42" t="inlineStr">
        <is>
          <t>V&amp;W</t>
        </is>
      </c>
      <c r="E42" t="n">
        <v>0</v>
      </c>
      <c r="F42" t="n">
        <v>0</v>
      </c>
      <c r="H42">
        <f>SUMIF(Journaal!$A$4:$A$2003,A42,Journaal!$E$4:$E$2003)</f>
        <v/>
      </c>
      <c r="I42">
        <f>SUMIF(Journaal!$A$4:$A$2003,A42,Journaal!$F$4:$F$2003)</f>
        <v/>
      </c>
      <c r="K42">
        <f>IF((E42-F42+H42-I42)&gt;0,E42-F42+H42-I42,0)</f>
        <v/>
      </c>
      <c r="L42">
        <f>IF((F42-E42+I42-H42)&gt;0,F42-E42+I42-H42,0)</f>
        <v/>
      </c>
      <c r="N42">
        <f>K42</f>
        <v/>
      </c>
      <c r="O42">
        <f>L42</f>
        <v/>
      </c>
    </row>
    <row r="43">
      <c r="A43" t="n">
        <v>314</v>
      </c>
      <c r="B43">
        <f>IFERROR(VLOOKUP(A43,Grootboekschema!$A$1:$B$129,2,0), "")</f>
        <v/>
      </c>
      <c r="D43" t="inlineStr">
        <is>
          <t>V&amp;W</t>
        </is>
      </c>
      <c r="E43" t="n">
        <v>0</v>
      </c>
      <c r="F43" t="n">
        <v>0</v>
      </c>
      <c r="H43">
        <f>SUMIF(Journaal!$A$4:$A$2003,A43,Journaal!$E$4:$E$2003)</f>
        <v/>
      </c>
      <c r="I43">
        <f>SUMIF(Journaal!$A$4:$A$2003,A43,Journaal!$F$4:$F$2003)</f>
        <v/>
      </c>
      <c r="K43">
        <f>IF((E43-F43+H43-I43)&gt;0,E43-F43+H43-I43,0)</f>
        <v/>
      </c>
      <c r="L43">
        <f>IF((F43-E43+I43-H43)&gt;0,F43-E43+I43-H43,0)</f>
        <v/>
      </c>
      <c r="N43">
        <f>K43</f>
        <v/>
      </c>
      <c r="O43">
        <f>L43</f>
        <v/>
      </c>
    </row>
    <row r="44">
      <c r="A44" t="n">
        <v>316</v>
      </c>
      <c r="B44">
        <f>IFERROR(VLOOKUP(A44,Grootboekschema!$A$1:$B$129,2,0), "")</f>
        <v/>
      </c>
      <c r="D44" t="inlineStr">
        <is>
          <t>V&amp;W</t>
        </is>
      </c>
      <c r="E44" t="n">
        <v>0</v>
      </c>
      <c r="F44" t="n">
        <v>0</v>
      </c>
      <c r="H44">
        <f>SUMIF(Journaal!$A$4:$A$2003,A44,Journaal!$E$4:$E$2003)</f>
        <v/>
      </c>
      <c r="I44">
        <f>SUMIF(Journaal!$A$4:$A$2003,A44,Journaal!$F$4:$F$2003)</f>
        <v/>
      </c>
      <c r="K44">
        <f>IF((E44-F44+H44-I44)&gt;0,E44-F44+H44-I44,0)</f>
        <v/>
      </c>
      <c r="L44">
        <f>IF((F44-E44+I44-H44)&gt;0,F44-E44+I44-H44,0)</f>
        <v/>
      </c>
      <c r="N44">
        <f>K44</f>
        <v/>
      </c>
      <c r="O44">
        <f>L44</f>
        <v/>
      </c>
    </row>
    <row r="45">
      <c r="A45" t="n">
        <v>319</v>
      </c>
      <c r="B45">
        <f>IFERROR(VLOOKUP(A45,Grootboekschema!$A$1:$B$129,2,0), "")</f>
        <v/>
      </c>
      <c r="D45" t="inlineStr">
        <is>
          <t>V&amp;W</t>
        </is>
      </c>
      <c r="E45" t="n">
        <v>0</v>
      </c>
      <c r="F45" t="n">
        <v>0</v>
      </c>
      <c r="H45">
        <f>SUMIF(Journaal!$A$4:$A$2003,A45,Journaal!$E$4:$E$2003)</f>
        <v/>
      </c>
      <c r="I45">
        <f>SUMIF(Journaal!$A$4:$A$2003,A45,Journaal!$F$4:$F$2003)</f>
        <v/>
      </c>
      <c r="K45">
        <f>IF((E45-F45+H45-I45)&gt;0,E45-F45+H45-I45,0)</f>
        <v/>
      </c>
      <c r="L45">
        <f>IF((F45-E45+I45-H45)&gt;0,F45-E45+I45-H45,0)</f>
        <v/>
      </c>
      <c r="N45">
        <f>K45</f>
        <v/>
      </c>
      <c r="O45">
        <f>L45</f>
        <v/>
      </c>
    </row>
    <row r="46">
      <c r="A46" t="n">
        <v>321</v>
      </c>
      <c r="B46">
        <f>IFERROR(VLOOKUP(A46,Grootboekschema!$A$1:$B$129,2,0), "")</f>
        <v/>
      </c>
      <c r="D46" t="inlineStr">
        <is>
          <t>V&amp;W</t>
        </is>
      </c>
      <c r="E46" t="n">
        <v>0</v>
      </c>
      <c r="F46" t="n">
        <v>0</v>
      </c>
      <c r="H46">
        <f>SUMIF(Journaal!$A$4:$A$2003,A46,Journaal!$E$4:$E$2003)</f>
        <v/>
      </c>
      <c r="I46">
        <f>SUMIF(Journaal!$A$4:$A$2003,A46,Journaal!$F$4:$F$2003)</f>
        <v/>
      </c>
      <c r="K46">
        <f>IF((E46-F46+H46-I46)&gt;0,E46-F46+H46-I46,0)</f>
        <v/>
      </c>
      <c r="L46">
        <f>IF((F46-E46+I46-H46)&gt;0,F46-E46+I46-H46,0)</f>
        <v/>
      </c>
      <c r="N46">
        <f>K46</f>
        <v/>
      </c>
      <c r="O46">
        <f>L46</f>
        <v/>
      </c>
    </row>
    <row r="47">
      <c r="A47" t="n">
        <v>322</v>
      </c>
      <c r="B47">
        <f>IFERROR(VLOOKUP(A47,Grootboekschema!$A$1:$B$129,2,0), "")</f>
        <v/>
      </c>
      <c r="D47" t="inlineStr">
        <is>
          <t>V&amp;W</t>
        </is>
      </c>
      <c r="E47" t="n">
        <v>0</v>
      </c>
      <c r="F47" t="n">
        <v>0</v>
      </c>
      <c r="H47">
        <f>SUMIF(Journaal!$A$4:$A$2003,A47,Journaal!$E$4:$E$2003)</f>
        <v/>
      </c>
      <c r="I47">
        <f>SUMIF(Journaal!$A$4:$A$2003,A47,Journaal!$F$4:$F$2003)</f>
        <v/>
      </c>
      <c r="K47">
        <f>IF((E47-F47+H47-I47)&gt;0,E47-F47+H47-I47,0)</f>
        <v/>
      </c>
      <c r="L47">
        <f>IF((F47-E47+I47-H47)&gt;0,F47-E47+I47-H47,0)</f>
        <v/>
      </c>
      <c r="N47">
        <f>K47</f>
        <v/>
      </c>
      <c r="O47">
        <f>L47</f>
        <v/>
      </c>
    </row>
    <row r="48">
      <c r="A48" t="n">
        <v>323</v>
      </c>
      <c r="B48">
        <f>IFERROR(VLOOKUP(A48,Grootboekschema!$A$1:$B$129,2,0), "")</f>
        <v/>
      </c>
      <c r="D48" t="inlineStr">
        <is>
          <t>V&amp;W</t>
        </is>
      </c>
      <c r="E48" t="n">
        <v>0</v>
      </c>
      <c r="F48" t="n">
        <v>0</v>
      </c>
      <c r="H48">
        <f>SUMIF(Journaal!$A$4:$A$2003,A48,Journaal!$E$4:$E$2003)</f>
        <v/>
      </c>
      <c r="I48">
        <f>SUMIF(Journaal!$A$4:$A$2003,A48,Journaal!$F$4:$F$2003)</f>
        <v/>
      </c>
      <c r="K48">
        <f>IF((E48-F48+H48-I48)&gt;0,E48-F48+H48-I48,0)</f>
        <v/>
      </c>
      <c r="L48">
        <f>IF((F48-E48+I48-H48)&gt;0,F48-E48+I48-H48,0)</f>
        <v/>
      </c>
      <c r="N48">
        <f>K48</f>
        <v/>
      </c>
      <c r="O48">
        <f>L48</f>
        <v/>
      </c>
    </row>
    <row r="49">
      <c r="A49" t="n">
        <v>329</v>
      </c>
      <c r="B49">
        <f>IFERROR(VLOOKUP(A49,Grootboekschema!$A$1:$B$129,2,0), "")</f>
        <v/>
      </c>
      <c r="D49" t="inlineStr">
        <is>
          <t>V&amp;W</t>
        </is>
      </c>
      <c r="E49" t="n">
        <v>0</v>
      </c>
      <c r="F49" t="n">
        <v>0</v>
      </c>
      <c r="H49">
        <f>SUMIF(Journaal!$A$4:$A$2003,A49,Journaal!$E$4:$E$2003)</f>
        <v/>
      </c>
      <c r="I49">
        <f>SUMIF(Journaal!$A$4:$A$2003,A49,Journaal!$F$4:$F$2003)</f>
        <v/>
      </c>
      <c r="K49">
        <f>IF((E49-F49+H49-I49)&gt;0,E49-F49+H49-I49,0)</f>
        <v/>
      </c>
      <c r="L49">
        <f>IF((F49-E49+I49-H49)&gt;0,F49-E49+I49-H49,0)</f>
        <v/>
      </c>
      <c r="N49">
        <f>K49</f>
        <v/>
      </c>
      <c r="O49">
        <f>L49</f>
        <v/>
      </c>
    </row>
    <row r="50">
      <c r="A50" t="n">
        <v>330</v>
      </c>
      <c r="B50">
        <f>IFERROR(VLOOKUP(A50,Grootboekschema!$A$1:$B$129,2,0), "")</f>
        <v/>
      </c>
      <c r="D50" t="inlineStr">
        <is>
          <t>V&amp;W</t>
        </is>
      </c>
      <c r="E50" t="n">
        <v>0</v>
      </c>
      <c r="F50" t="n">
        <v>0</v>
      </c>
      <c r="H50">
        <f>SUMIF(Journaal!$A$4:$A$2003,A50,Journaal!$E$4:$E$2003)</f>
        <v/>
      </c>
      <c r="I50">
        <f>SUMIF(Journaal!$A$4:$A$2003,A50,Journaal!$F$4:$F$2003)</f>
        <v/>
      </c>
      <c r="K50">
        <f>IF((E50-F50+H50-I50)&gt;0,E50-F50+H50-I50,0)</f>
        <v/>
      </c>
      <c r="L50">
        <f>IF((F50-E50+I50-H50)&gt;0,F50-E50+I50-H50,0)</f>
        <v/>
      </c>
      <c r="N50">
        <f>K50</f>
        <v/>
      </c>
      <c r="O50">
        <f>L50</f>
        <v/>
      </c>
    </row>
    <row r="51">
      <c r="A51" t="n">
        <v>332</v>
      </c>
      <c r="B51">
        <f>IFERROR(VLOOKUP(A51,Grootboekschema!$A$1:$B$129,2,0), "")</f>
        <v/>
      </c>
      <c r="D51" t="inlineStr">
        <is>
          <t>V&amp;W</t>
        </is>
      </c>
      <c r="E51" t="n">
        <v>0</v>
      </c>
      <c r="F51" t="n">
        <v>0</v>
      </c>
      <c r="H51">
        <f>SUMIF(Journaal!$A$4:$A$2003,A51,Journaal!$E$4:$E$2003)</f>
        <v/>
      </c>
      <c r="I51">
        <f>SUMIF(Journaal!$A$4:$A$2003,A51,Journaal!$F$4:$F$2003)</f>
        <v/>
      </c>
      <c r="K51">
        <f>IF((E51-F51+H51-I51)&gt;0,E51-F51+H51-I51,0)</f>
        <v/>
      </c>
      <c r="L51">
        <f>IF((F51-E51+I51-H51)&gt;0,F51-E51+I51-H51,0)</f>
        <v/>
      </c>
      <c r="N51">
        <f>K51</f>
        <v/>
      </c>
      <c r="O51">
        <f>L51</f>
        <v/>
      </c>
    </row>
    <row r="52">
      <c r="A52" t="n">
        <v>333</v>
      </c>
      <c r="B52">
        <f>IFERROR(VLOOKUP(A52,Grootboekschema!$A$1:$B$129,2,0), "")</f>
        <v/>
      </c>
      <c r="D52" t="inlineStr">
        <is>
          <t>V&amp;W</t>
        </is>
      </c>
      <c r="E52" t="n">
        <v>0</v>
      </c>
      <c r="F52" t="n">
        <v>0</v>
      </c>
      <c r="H52">
        <f>SUMIF(Journaal!$A$4:$A$2003,A52,Journaal!$E$4:$E$2003)</f>
        <v/>
      </c>
      <c r="I52">
        <f>SUMIF(Journaal!$A$4:$A$2003,A52,Journaal!$F$4:$F$2003)</f>
        <v/>
      </c>
      <c r="K52">
        <f>IF((E52-F52+H52-I52)&gt;0,E52-F52+H52-I52,0)</f>
        <v/>
      </c>
      <c r="L52">
        <f>IF((F52-E52+I52-H52)&gt;0,F52-E52+I52-H52,0)</f>
        <v/>
      </c>
      <c r="N52">
        <f>K52</f>
        <v/>
      </c>
      <c r="O52">
        <f>L52</f>
        <v/>
      </c>
    </row>
    <row r="53">
      <c r="A53" t="n">
        <v>334</v>
      </c>
      <c r="B53">
        <f>IFERROR(VLOOKUP(A53,Grootboekschema!$A$1:$B$129,2,0), "")</f>
        <v/>
      </c>
      <c r="D53" t="inlineStr">
        <is>
          <t>V&amp;W</t>
        </is>
      </c>
      <c r="E53" t="n">
        <v>0</v>
      </c>
      <c r="F53" t="n">
        <v>0</v>
      </c>
      <c r="H53">
        <f>SUMIF(Journaal!$A$4:$A$2003,A53,Journaal!$E$4:$E$2003)</f>
        <v/>
      </c>
      <c r="I53">
        <f>SUMIF(Journaal!$A$4:$A$2003,A53,Journaal!$F$4:$F$2003)</f>
        <v/>
      </c>
      <c r="K53">
        <f>IF((E53-F53+H53-I53)&gt;0,E53-F53+H53-I53,0)</f>
        <v/>
      </c>
      <c r="L53">
        <f>IF((F53-E53+I53-H53)&gt;0,F53-E53+I53-H53,0)</f>
        <v/>
      </c>
      <c r="N53">
        <f>K53</f>
        <v/>
      </c>
      <c r="O53">
        <f>L53</f>
        <v/>
      </c>
    </row>
    <row r="54">
      <c r="A54" t="n">
        <v>339</v>
      </c>
      <c r="B54">
        <f>IFERROR(VLOOKUP(A54,Grootboekschema!$A$1:$B$129,2,0), "")</f>
        <v/>
      </c>
      <c r="D54" t="inlineStr">
        <is>
          <t>V&amp;W</t>
        </is>
      </c>
      <c r="E54" t="n">
        <v>0</v>
      </c>
      <c r="F54" t="n">
        <v>0</v>
      </c>
      <c r="H54">
        <f>SUMIF(Journaal!$A$4:$A$2003,A54,Journaal!$E$4:$E$2003)</f>
        <v/>
      </c>
      <c r="I54">
        <f>SUMIF(Journaal!$A$4:$A$2003,A54,Journaal!$F$4:$F$2003)</f>
        <v/>
      </c>
      <c r="K54">
        <f>IF((E54-F54+H54-I54)&gt;0,E54-F54+H54-I54,0)</f>
        <v/>
      </c>
      <c r="L54">
        <f>IF((F54-E54+I54-H54)&gt;0,F54-E54+I54-H54,0)</f>
        <v/>
      </c>
      <c r="N54">
        <f>K54</f>
        <v/>
      </c>
      <c r="O54">
        <f>L54</f>
        <v/>
      </c>
    </row>
    <row r="55">
      <c r="A55" t="n">
        <v>341</v>
      </c>
      <c r="B55">
        <f>IFERROR(VLOOKUP(A55,Grootboekschema!$A$1:$B$129,2,0), "")</f>
        <v/>
      </c>
      <c r="D55" t="inlineStr">
        <is>
          <t>V&amp;W</t>
        </is>
      </c>
      <c r="E55" t="n">
        <v>0</v>
      </c>
      <c r="F55" t="n">
        <v>0</v>
      </c>
      <c r="H55">
        <f>SUMIF(Journaal!$A$4:$A$2003,A55,Journaal!$E$4:$E$2003)</f>
        <v/>
      </c>
      <c r="I55">
        <f>SUMIF(Journaal!$A$4:$A$2003,A55,Journaal!$F$4:$F$2003)</f>
        <v/>
      </c>
      <c r="K55">
        <f>IF((E55-F55+H55-I55)&gt;0,E55-F55+H55-I55,0)</f>
        <v/>
      </c>
      <c r="L55">
        <f>IF((F55-E55+I55-H55)&gt;0,F55-E55+I55-H55,0)</f>
        <v/>
      </c>
      <c r="N55">
        <f>K55</f>
        <v/>
      </c>
      <c r="O55">
        <f>L55</f>
        <v/>
      </c>
    </row>
    <row r="56">
      <c r="A56" t="n">
        <v>360</v>
      </c>
      <c r="B56">
        <f>IFERROR(VLOOKUP(A56,Grootboekschema!$A$1:$B$129,2,0), "")</f>
        <v/>
      </c>
      <c r="D56" t="inlineStr">
        <is>
          <t>V&amp;W</t>
        </is>
      </c>
      <c r="E56" t="n">
        <v>0</v>
      </c>
      <c r="F56" t="n">
        <v>0</v>
      </c>
      <c r="H56">
        <f>SUMIF(Journaal!$A$4:$A$2003,A56,Journaal!$E$4:$E$2003)</f>
        <v/>
      </c>
      <c r="I56">
        <f>SUMIF(Journaal!$A$4:$A$2003,A56,Journaal!$F$4:$F$2003)</f>
        <v/>
      </c>
      <c r="K56">
        <f>IF((E56-F56+H56-I56)&gt;0,E56-F56+H56-I56,0)</f>
        <v/>
      </c>
      <c r="L56">
        <f>IF((F56-E56+I56-H56)&gt;0,F56-E56+I56-H56,0)</f>
        <v/>
      </c>
      <c r="N56">
        <f>K56</f>
        <v/>
      </c>
      <c r="O56">
        <f>L56</f>
        <v/>
      </c>
    </row>
    <row r="57">
      <c r="A57" t="n">
        <v>364</v>
      </c>
      <c r="B57">
        <f>IFERROR(VLOOKUP(A57,Grootboekschema!$A$1:$B$129,2,0), "")</f>
        <v/>
      </c>
      <c r="D57" t="inlineStr">
        <is>
          <t>V&amp;W</t>
        </is>
      </c>
      <c r="E57" t="n">
        <v>0</v>
      </c>
      <c r="F57" t="n">
        <v>0</v>
      </c>
      <c r="H57">
        <f>SUMIF(Journaal!$A$4:$A$2003,A57,Journaal!$E$4:$E$2003)</f>
        <v/>
      </c>
      <c r="I57">
        <f>SUMIF(Journaal!$A$4:$A$2003,A57,Journaal!$F$4:$F$2003)</f>
        <v/>
      </c>
      <c r="K57">
        <f>IF((E57-F57+H57-I57)&gt;0,E57-F57+H57-I57,0)</f>
        <v/>
      </c>
      <c r="L57">
        <f>IF((F57-E57+I57-H57)&gt;0,F57-E57+I57-H57,0)</f>
        <v/>
      </c>
      <c r="N57">
        <f>K57</f>
        <v/>
      </c>
      <c r="O57">
        <f>L57</f>
        <v/>
      </c>
    </row>
    <row r="58">
      <c r="A58" t="n">
        <v>365</v>
      </c>
      <c r="B58">
        <f>IFERROR(VLOOKUP(A58,Grootboekschema!$A$1:$B$129,2,0), "")</f>
        <v/>
      </c>
      <c r="D58" t="inlineStr">
        <is>
          <t>V&amp;W</t>
        </is>
      </c>
      <c r="E58" t="n">
        <v>0</v>
      </c>
      <c r="F58" t="n">
        <v>0</v>
      </c>
      <c r="H58">
        <f>SUMIF(Journaal!$A$4:$A$2003,A58,Journaal!$E$4:$E$2003)</f>
        <v/>
      </c>
      <c r="I58">
        <f>SUMIF(Journaal!$A$4:$A$2003,A58,Journaal!$F$4:$F$2003)</f>
        <v/>
      </c>
      <c r="K58">
        <f>IF((E58-F58+H58-I58)&gt;0,E58-F58+H58-I58,0)</f>
        <v/>
      </c>
      <c r="L58">
        <f>IF((F58-E58+I58-H58)&gt;0,F58-E58+I58-H58,0)</f>
        <v/>
      </c>
      <c r="N58">
        <f>K58</f>
        <v/>
      </c>
      <c r="O58">
        <f>L58</f>
        <v/>
      </c>
    </row>
    <row r="59">
      <c r="A59" t="n">
        <v>370</v>
      </c>
      <c r="B59">
        <f>IFERROR(VLOOKUP(A59,Grootboekschema!$A$1:$B$129,2,0), "")</f>
        <v/>
      </c>
      <c r="D59" t="inlineStr">
        <is>
          <t>V&amp;W</t>
        </is>
      </c>
      <c r="E59" t="n">
        <v>0</v>
      </c>
      <c r="F59" t="n">
        <v>0</v>
      </c>
      <c r="H59">
        <f>SUMIF(Journaal!$A$4:$A$2003,A59,Journaal!$E$4:$E$2003)</f>
        <v/>
      </c>
      <c r="I59">
        <f>SUMIF(Journaal!$A$4:$A$2003,A59,Journaal!$F$4:$F$2003)</f>
        <v/>
      </c>
      <c r="K59">
        <f>IF((E59-F59+H59-I59)&gt;0,E59-F59+H59-I59,0)</f>
        <v/>
      </c>
      <c r="L59">
        <f>IF((F59-E59+I59-H59)&gt;0,F59-E59+I59-H59,0)</f>
        <v/>
      </c>
      <c r="N59">
        <f>K59</f>
        <v/>
      </c>
      <c r="O59">
        <f>L59</f>
        <v/>
      </c>
    </row>
    <row r="60">
      <c r="A60" t="n">
        <v>392</v>
      </c>
      <c r="B60">
        <f>IFERROR(VLOOKUP(A60,Grootboekschema!$A$1:$B$129,2,0), "")</f>
        <v/>
      </c>
      <c r="D60" t="inlineStr">
        <is>
          <t>V&amp;W</t>
        </is>
      </c>
      <c r="E60" t="n">
        <v>0</v>
      </c>
      <c r="F60" t="n">
        <v>0</v>
      </c>
      <c r="H60">
        <f>SUMIF(Journaal!$A$4:$A$2003,A60,Journaal!$E$4:$E$2003)</f>
        <v/>
      </c>
      <c r="I60">
        <f>SUMIF(Journaal!$A$4:$A$2003,A60,Journaal!$F$4:$F$2003)</f>
        <v/>
      </c>
      <c r="K60">
        <f>IF((E60-F60+H60-I60)&gt;0,E60-F60+H60-I60,0)</f>
        <v/>
      </c>
      <c r="L60">
        <f>IF((F60-E60+I60-H60)&gt;0,F60-E60+I60-H60,0)</f>
        <v/>
      </c>
      <c r="N60">
        <f>K60</f>
        <v/>
      </c>
      <c r="O60">
        <f>L60</f>
        <v/>
      </c>
    </row>
    <row r="61">
      <c r="A61" t="n">
        <v>400</v>
      </c>
      <c r="B61">
        <f>IFERROR(VLOOKUP(A61,Grootboekschema!$A$1:$B$129,2,0), "")</f>
        <v/>
      </c>
      <c r="D61" t="inlineStr">
        <is>
          <t>V&amp;W</t>
        </is>
      </c>
      <c r="E61" t="n">
        <v>0</v>
      </c>
      <c r="F61" t="n">
        <v>0</v>
      </c>
      <c r="H61">
        <f>SUMIF(Journaal!$A$4:$A$2003,A61,Journaal!$E$4:$E$2003)</f>
        <v/>
      </c>
      <c r="I61">
        <f>SUMIF(Journaal!$A$4:$A$2003,A61,Journaal!$F$4:$F$2003)</f>
        <v/>
      </c>
      <c r="K61">
        <f>IF((E61-F61+H61-I61)&gt;0,E61-F61+H61-I61,0)</f>
        <v/>
      </c>
      <c r="L61">
        <f>IF((F61-E61+I61-H61)&gt;0,F61-E61+I61-H61,0)</f>
        <v/>
      </c>
      <c r="N61">
        <f>K61</f>
        <v/>
      </c>
      <c r="O61">
        <f>L61</f>
        <v/>
      </c>
    </row>
    <row r="62">
      <c r="A62" t="n">
        <v>402</v>
      </c>
      <c r="B62">
        <f>IFERROR(VLOOKUP(A62,Grootboekschema!$A$1:$B$129,2,0), "")</f>
        <v/>
      </c>
      <c r="D62" t="inlineStr">
        <is>
          <t>V&amp;W</t>
        </is>
      </c>
      <c r="E62" t="n">
        <v>0</v>
      </c>
      <c r="F62" t="n">
        <v>0</v>
      </c>
      <c r="H62">
        <f>SUMIF(Journaal!$A$4:$A$2003,A62,Journaal!$E$4:$E$2003)</f>
        <v/>
      </c>
      <c r="I62">
        <f>SUMIF(Journaal!$A$4:$A$2003,A62,Journaal!$F$4:$F$2003)</f>
        <v/>
      </c>
      <c r="K62">
        <f>IF((E62-F62+H62-I62)&gt;0,E62-F62+H62-I62,0)</f>
        <v/>
      </c>
      <c r="L62">
        <f>IF((F62-E62+I62-H62)&gt;0,F62-E62+I62-H62,0)</f>
        <v/>
      </c>
      <c r="N62">
        <f>K62</f>
        <v/>
      </c>
      <c r="O62">
        <f>L62</f>
        <v/>
      </c>
    </row>
    <row r="63">
      <c r="A63" t="n">
        <v>404</v>
      </c>
      <c r="B63">
        <f>IFERROR(VLOOKUP(A63,Grootboekschema!$A$1:$B$129,2,0), "")</f>
        <v/>
      </c>
      <c r="D63" t="inlineStr">
        <is>
          <t>V&amp;W</t>
        </is>
      </c>
      <c r="E63" t="n">
        <v>0</v>
      </c>
      <c r="F63" t="n">
        <v>0</v>
      </c>
      <c r="H63">
        <f>SUMIF(Journaal!$A$4:$A$2003,A63,Journaal!$E$4:$E$2003)</f>
        <v/>
      </c>
      <c r="I63">
        <f>SUMIF(Journaal!$A$4:$A$2003,A63,Journaal!$F$4:$F$2003)</f>
        <v/>
      </c>
      <c r="K63">
        <f>IF((E63-F63+H63-I63)&gt;0,E63-F63+H63-I63,0)</f>
        <v/>
      </c>
      <c r="L63">
        <f>IF((F63-E63+I63-H63)&gt;0,F63-E63+I63-H63,0)</f>
        <v/>
      </c>
      <c r="N63">
        <f>K63</f>
        <v/>
      </c>
      <c r="O63">
        <f>L63</f>
        <v/>
      </c>
    </row>
    <row r="64">
      <c r="A64" t="n">
        <v>407</v>
      </c>
      <c r="B64">
        <f>IFERROR(VLOOKUP(A64,Grootboekschema!$A$1:$B$129,2,0), "")</f>
        <v/>
      </c>
      <c r="D64" t="inlineStr">
        <is>
          <t>V&amp;W</t>
        </is>
      </c>
      <c r="E64" t="n">
        <v>0</v>
      </c>
      <c r="F64" t="n">
        <v>0</v>
      </c>
      <c r="H64">
        <f>SUMIF(Journaal!$A$4:$A$2003,A64,Journaal!$E$4:$E$2003)</f>
        <v/>
      </c>
      <c r="I64">
        <f>SUMIF(Journaal!$A$4:$A$2003,A64,Journaal!$F$4:$F$2003)</f>
        <v/>
      </c>
      <c r="K64">
        <f>IF((E64-F64+H64-I64)&gt;0,E64-F64+H64-I64,0)</f>
        <v/>
      </c>
      <c r="L64">
        <f>IF((F64-E64+I64-H64)&gt;0,F64-E64+I64-H64,0)</f>
        <v/>
      </c>
      <c r="N64">
        <f>K64</f>
        <v/>
      </c>
      <c r="O64">
        <f>L64</f>
        <v/>
      </c>
    </row>
    <row r="65">
      <c r="A65" t="n">
        <v>410</v>
      </c>
      <c r="B65">
        <f>IFERROR(VLOOKUP(A65,Grootboekschema!$A$1:$B$129,2,0), "")</f>
        <v/>
      </c>
      <c r="D65" t="inlineStr">
        <is>
          <t>V&amp;W</t>
        </is>
      </c>
      <c r="E65" t="n">
        <v>0</v>
      </c>
      <c r="F65" t="n">
        <v>0</v>
      </c>
      <c r="H65">
        <f>SUMIF(Journaal!$A$4:$A$2003,A65,Journaal!$E$4:$E$2003)</f>
        <v/>
      </c>
      <c r="I65">
        <f>SUMIF(Journaal!$A$4:$A$2003,A65,Journaal!$F$4:$F$2003)</f>
        <v/>
      </c>
      <c r="K65">
        <f>IF((E65-F65+H65-I65)&gt;0,E65-F65+H65-I65,0)</f>
        <v/>
      </c>
      <c r="L65">
        <f>IF((F65-E65+I65-H65)&gt;0,F65-E65+I65-H65,0)</f>
        <v/>
      </c>
      <c r="N65">
        <f>K65</f>
        <v/>
      </c>
      <c r="O65">
        <f>L65</f>
        <v/>
      </c>
    </row>
    <row r="66">
      <c r="A66" t="n">
        <v>411</v>
      </c>
      <c r="B66">
        <f>IFERROR(VLOOKUP(A66,Grootboekschema!$A$1:$B$129,2,0), "")</f>
        <v/>
      </c>
      <c r="D66" t="inlineStr">
        <is>
          <t>V&amp;W</t>
        </is>
      </c>
      <c r="E66" t="n">
        <v>0</v>
      </c>
      <c r="F66" t="n">
        <v>0</v>
      </c>
      <c r="H66">
        <f>SUMIF(Journaal!$A$4:$A$2003,A66,Journaal!$E$4:$E$2003)</f>
        <v/>
      </c>
      <c r="I66">
        <f>SUMIF(Journaal!$A$4:$A$2003,A66,Journaal!$F$4:$F$2003)</f>
        <v/>
      </c>
      <c r="K66">
        <f>IF((E66-F66+H66-I66)&gt;0,E66-F66+H66-I66,0)</f>
        <v/>
      </c>
      <c r="L66">
        <f>IF((F66-E66+I66-H66)&gt;0,F66-E66+I66-H66,0)</f>
        <v/>
      </c>
      <c r="N66">
        <f>K66</f>
        <v/>
      </c>
      <c r="O66">
        <f>L66</f>
        <v/>
      </c>
    </row>
    <row r="67">
      <c r="A67" t="n">
        <v>412</v>
      </c>
      <c r="B67">
        <f>IFERROR(VLOOKUP(A67,Grootboekschema!$A$1:$B$129,2,0), "")</f>
        <v/>
      </c>
      <c r="D67" t="inlineStr">
        <is>
          <t>V&amp;W</t>
        </is>
      </c>
      <c r="E67" t="n">
        <v>0</v>
      </c>
      <c r="F67" t="n">
        <v>0</v>
      </c>
      <c r="H67">
        <f>SUMIF(Journaal!$A$4:$A$2003,A67,Journaal!$E$4:$E$2003)</f>
        <v/>
      </c>
      <c r="I67">
        <f>SUMIF(Journaal!$A$4:$A$2003,A67,Journaal!$F$4:$F$2003)</f>
        <v/>
      </c>
      <c r="K67">
        <f>IF((E67-F67+H67-I67)&gt;0,E67-F67+H67-I67,0)</f>
        <v/>
      </c>
      <c r="L67">
        <f>IF((F67-E67+I67-H67)&gt;0,F67-E67+I67-H67,0)</f>
        <v/>
      </c>
      <c r="N67">
        <f>K67</f>
        <v/>
      </c>
      <c r="O67">
        <f>L67</f>
        <v/>
      </c>
    </row>
    <row r="68">
      <c r="A68" t="n">
        <v>420</v>
      </c>
      <c r="B68">
        <f>IFERROR(VLOOKUP(A68,Grootboekschema!$A$1:$B$129,2,0), "")</f>
        <v/>
      </c>
      <c r="D68" t="inlineStr">
        <is>
          <t>V&amp;W</t>
        </is>
      </c>
      <c r="E68" t="n">
        <v>0</v>
      </c>
      <c r="F68" t="n">
        <v>0</v>
      </c>
      <c r="H68">
        <f>SUMIF(Journaal!$A$4:$A$2003,A68,Journaal!$E$4:$E$2003)</f>
        <v/>
      </c>
      <c r="I68">
        <f>SUMIF(Journaal!$A$4:$A$2003,A68,Journaal!$F$4:$F$2003)</f>
        <v/>
      </c>
      <c r="K68">
        <f>IF((E68-F68+H68-I68)&gt;0,E68-F68+H68-I68,0)</f>
        <v/>
      </c>
      <c r="L68">
        <f>IF((F68-E68+I68-H68)&gt;0,F68-E68+I68-H68,0)</f>
        <v/>
      </c>
      <c r="N68">
        <f>K68</f>
        <v/>
      </c>
      <c r="O68">
        <f>L68</f>
        <v/>
      </c>
    </row>
    <row r="69">
      <c r="A69" t="n">
        <v>421</v>
      </c>
      <c r="B69">
        <f>IFERROR(VLOOKUP(A69,Grootboekschema!$A$1:$B$129,2,0), "")</f>
        <v/>
      </c>
      <c r="D69" t="inlineStr">
        <is>
          <t>V&amp;W</t>
        </is>
      </c>
      <c r="E69" t="n">
        <v>0</v>
      </c>
      <c r="F69" t="n">
        <v>0</v>
      </c>
      <c r="H69">
        <f>SUMIF(Journaal!$A$4:$A$2003,A69,Journaal!$E$4:$E$2003)</f>
        <v/>
      </c>
      <c r="I69">
        <f>SUMIF(Journaal!$A$4:$A$2003,A69,Journaal!$F$4:$F$2003)</f>
        <v/>
      </c>
      <c r="K69">
        <f>IF((E69-F69+H69-I69)&gt;0,E69-F69+H69-I69,0)</f>
        <v/>
      </c>
      <c r="L69">
        <f>IF((F69-E69+I69-H69)&gt;0,F69-E69+I69-H69,0)</f>
        <v/>
      </c>
      <c r="N69">
        <f>K69</f>
        <v/>
      </c>
      <c r="O69">
        <f>L69</f>
        <v/>
      </c>
    </row>
    <row r="70">
      <c r="A70" t="n">
        <v>428</v>
      </c>
      <c r="B70">
        <f>IFERROR(VLOOKUP(A70,Grootboekschema!$A$1:$B$129,2,0), "")</f>
        <v/>
      </c>
      <c r="D70" t="inlineStr">
        <is>
          <t>V&amp;W</t>
        </is>
      </c>
      <c r="E70" t="n">
        <v>0</v>
      </c>
      <c r="F70" t="n">
        <v>0</v>
      </c>
      <c r="H70">
        <f>SUMIF(Journaal!$A$4:$A$2003,A70,Journaal!$E$4:$E$2003)</f>
        <v/>
      </c>
      <c r="I70">
        <f>SUMIF(Journaal!$A$4:$A$2003,A70,Journaal!$F$4:$F$2003)</f>
        <v/>
      </c>
      <c r="K70">
        <f>IF((E70-F70+H70-I70)&gt;0,E70-F70+H70-I70,0)</f>
        <v/>
      </c>
      <c r="L70">
        <f>IF((F70-E70+I70-H70)&gt;0,F70-E70+I70-H70,0)</f>
        <v/>
      </c>
      <c r="N70">
        <f>K70</f>
        <v/>
      </c>
      <c r="O70">
        <f>L70</f>
        <v/>
      </c>
    </row>
    <row r="71">
      <c r="A71" t="n">
        <v>430</v>
      </c>
      <c r="B71">
        <f>IFERROR(VLOOKUP(A71,Grootboekschema!$A$1:$B$129,2,0), "")</f>
        <v/>
      </c>
      <c r="D71" t="inlineStr">
        <is>
          <t>V&amp;W</t>
        </is>
      </c>
      <c r="E71" t="n">
        <v>0</v>
      </c>
      <c r="F71" t="n">
        <v>0</v>
      </c>
      <c r="H71">
        <f>SUMIF(Journaal!$A$4:$A$2003,A71,Journaal!$E$4:$E$2003)</f>
        <v/>
      </c>
      <c r="I71">
        <f>SUMIF(Journaal!$A$4:$A$2003,A71,Journaal!$F$4:$F$2003)</f>
        <v/>
      </c>
      <c r="K71">
        <f>IF((E71-F71+H71-I71)&gt;0,E71-F71+H71-I71,0)</f>
        <v/>
      </c>
      <c r="L71">
        <f>IF((F71-E71+I71-H71)&gt;0,F71-E71+I71-H71,0)</f>
        <v/>
      </c>
      <c r="N71">
        <f>K71</f>
        <v/>
      </c>
      <c r="O71">
        <f>L71</f>
        <v/>
      </c>
    </row>
    <row r="72">
      <c r="A72" t="n">
        <v>450</v>
      </c>
      <c r="B72">
        <f>IFERROR(VLOOKUP(A72,Grootboekschema!$A$1:$B$129,2,0), "")</f>
        <v/>
      </c>
      <c r="D72" t="inlineStr">
        <is>
          <t>V&amp;W</t>
        </is>
      </c>
      <c r="E72" t="n">
        <v>0</v>
      </c>
      <c r="F72" t="n">
        <v>0</v>
      </c>
      <c r="H72">
        <f>SUMIF(Journaal!$A$4:$A$2003,A72,Journaal!$E$4:$E$2003)</f>
        <v/>
      </c>
      <c r="I72">
        <f>SUMIF(Journaal!$A$4:$A$2003,A72,Journaal!$F$4:$F$2003)</f>
        <v/>
      </c>
      <c r="K72">
        <f>IF((E72-F72+H72-I72)&gt;0,E72-F72+H72-I72,0)</f>
        <v/>
      </c>
      <c r="L72">
        <f>IF((F72-E72+I72-H72)&gt;0,F72-E72+I72-H72,0)</f>
        <v/>
      </c>
      <c r="N72">
        <f>K72</f>
        <v/>
      </c>
      <c r="O72">
        <f>L72</f>
        <v/>
      </c>
    </row>
    <row r="73">
      <c r="A73" t="n">
        <v>455</v>
      </c>
      <c r="B73">
        <f>IFERROR(VLOOKUP(A73,Grootboekschema!$A$1:$B$129,2,0), "")</f>
        <v/>
      </c>
      <c r="D73" t="inlineStr">
        <is>
          <t>V&amp;W</t>
        </is>
      </c>
      <c r="E73" t="n">
        <v>0</v>
      </c>
      <c r="F73" t="n">
        <v>0</v>
      </c>
      <c r="H73">
        <f>SUMIF(Journaal!$A$4:$A$2003,A73,Journaal!$E$4:$E$2003)</f>
        <v/>
      </c>
      <c r="I73">
        <f>SUMIF(Journaal!$A$4:$A$2003,A73,Journaal!$F$4:$F$2003)</f>
        <v/>
      </c>
      <c r="K73">
        <f>IF((E73-F73+H73-I73)&gt;0,E73-F73+H73-I73,0)</f>
        <v/>
      </c>
      <c r="L73">
        <f>IF((F73-E73+I73-H73)&gt;0,F73-E73+I73-H73,0)</f>
        <v/>
      </c>
      <c r="N73">
        <f>K73</f>
        <v/>
      </c>
      <c r="O73">
        <f>L73</f>
        <v/>
      </c>
    </row>
    <row r="74">
      <c r="A74" t="n">
        <v>459</v>
      </c>
      <c r="B74">
        <f>IFERROR(VLOOKUP(A74,Grootboekschema!$A$1:$B$129,2,0), "")</f>
        <v/>
      </c>
      <c r="D74" t="inlineStr">
        <is>
          <t>V&amp;W</t>
        </is>
      </c>
      <c r="E74" t="n">
        <v>0</v>
      </c>
      <c r="F74" t="n">
        <v>0</v>
      </c>
      <c r="H74">
        <f>SUMIF(Journaal!$A$4:$A$2003,A74,Journaal!$E$4:$E$2003)</f>
        <v/>
      </c>
      <c r="I74">
        <f>SUMIF(Journaal!$A$4:$A$2003,A74,Journaal!$F$4:$F$2003)</f>
        <v/>
      </c>
      <c r="K74">
        <f>IF((E74-F74+H74-I74)&gt;0,E74-F74+H74-I74,0)</f>
        <v/>
      </c>
      <c r="L74">
        <f>IF((F74-E74+I74-H74)&gt;0,F74-E74+I74-H74,0)</f>
        <v/>
      </c>
      <c r="N74">
        <f>K74</f>
        <v/>
      </c>
      <c r="O74">
        <f>L74</f>
        <v/>
      </c>
    </row>
    <row r="75">
      <c r="A75" t="n">
        <v>460</v>
      </c>
      <c r="B75">
        <f>IFERROR(VLOOKUP(A75,Grootboekschema!$A$1:$B$129,2,0), "")</f>
        <v/>
      </c>
      <c r="D75" t="inlineStr">
        <is>
          <t>V&amp;W</t>
        </is>
      </c>
      <c r="E75" t="n">
        <v>0</v>
      </c>
      <c r="F75" t="n">
        <v>0</v>
      </c>
      <c r="H75">
        <f>SUMIF(Journaal!$A$4:$A$2003,A75,Journaal!$E$4:$E$2003)</f>
        <v/>
      </c>
      <c r="I75">
        <f>SUMIF(Journaal!$A$4:$A$2003,A75,Journaal!$F$4:$F$2003)</f>
        <v/>
      </c>
      <c r="K75">
        <f>IF((E75-F75+H75-I75)&gt;0,E75-F75+H75-I75,0)</f>
        <v/>
      </c>
      <c r="L75">
        <f>IF((F75-E75+I75-H75)&gt;0,F75-E75+I75-H75,0)</f>
        <v/>
      </c>
      <c r="N75">
        <f>K75</f>
        <v/>
      </c>
      <c r="O75">
        <f>L75</f>
        <v/>
      </c>
    </row>
    <row r="76">
      <c r="A76" t="n">
        <v>470</v>
      </c>
      <c r="B76">
        <f>IFERROR(VLOOKUP(A76,Grootboekschema!$A$1:$B$129,2,0), "")</f>
        <v/>
      </c>
      <c r="D76" t="inlineStr">
        <is>
          <t>V&amp;W</t>
        </is>
      </c>
      <c r="E76" t="n">
        <v>0</v>
      </c>
      <c r="F76" t="n">
        <v>0</v>
      </c>
      <c r="H76">
        <f>SUMIF(Journaal!$A$4:$A$2003,A76,Journaal!$E$4:$E$2003)</f>
        <v/>
      </c>
      <c r="I76">
        <f>SUMIF(Journaal!$A$4:$A$2003,A76,Journaal!$F$4:$F$2003)</f>
        <v/>
      </c>
      <c r="K76">
        <f>IF((E76-F76+H76-I76)&gt;0,E76-F76+H76-I76,0)</f>
        <v/>
      </c>
      <c r="L76">
        <f>IF((F76-E76+I76-H76)&gt;0,F76-E76+I76-H76,0)</f>
        <v/>
      </c>
      <c r="N76">
        <f>K76</f>
        <v/>
      </c>
      <c r="O76">
        <f>L76</f>
        <v/>
      </c>
    </row>
    <row r="77">
      <c r="A77" t="n">
        <v>480</v>
      </c>
      <c r="B77">
        <f>IFERROR(VLOOKUP(A77,Grootboekschema!$A$1:$B$129,2,0), "")</f>
        <v/>
      </c>
      <c r="D77" t="inlineStr">
        <is>
          <t>V&amp;W</t>
        </is>
      </c>
      <c r="E77" t="n">
        <v>0</v>
      </c>
      <c r="F77" t="n">
        <v>0</v>
      </c>
      <c r="H77">
        <f>SUMIF(Journaal!$A$4:$A$2003,A77,Journaal!$E$4:$E$2003)</f>
        <v/>
      </c>
      <c r="I77">
        <f>SUMIF(Journaal!$A$4:$A$2003,A77,Journaal!$F$4:$F$2003)</f>
        <v/>
      </c>
      <c r="K77">
        <f>IF((E77-F77+H77-I77)&gt;0,E77-F77+H77-I77,0)</f>
        <v/>
      </c>
      <c r="L77">
        <f>IF((F77-E77+I77-H77)&gt;0,F77-E77+I77-H77,0)</f>
        <v/>
      </c>
      <c r="N77">
        <f>K77</f>
        <v/>
      </c>
      <c r="O77">
        <f>L77</f>
        <v/>
      </c>
    </row>
    <row r="78">
      <c r="A78" t="n">
        <v>481</v>
      </c>
      <c r="B78">
        <f>IFERROR(VLOOKUP(A78,Grootboekschema!$A$1:$B$129,2,0), "")</f>
        <v/>
      </c>
      <c r="D78" t="inlineStr">
        <is>
          <t>V&amp;W</t>
        </is>
      </c>
      <c r="E78" t="n">
        <v>0</v>
      </c>
      <c r="F78" t="n">
        <v>0</v>
      </c>
      <c r="H78">
        <f>SUMIF(Journaal!$A$4:$A$2003,A78,Journaal!$E$4:$E$2003)</f>
        <v/>
      </c>
      <c r="I78">
        <f>SUMIF(Journaal!$A$4:$A$2003,A78,Journaal!$F$4:$F$2003)</f>
        <v/>
      </c>
      <c r="K78">
        <f>IF((E78-F78+H78-I78)&gt;0,E78-F78+H78-I78,0)</f>
        <v/>
      </c>
      <c r="L78">
        <f>IF((F78-E78+I78-H78)&gt;0,F78-E78+I78-H78,0)</f>
        <v/>
      </c>
      <c r="N78">
        <f>K78</f>
        <v/>
      </c>
      <c r="O78">
        <f>L78</f>
        <v/>
      </c>
    </row>
    <row r="79">
      <c r="A79" t="n">
        <v>482</v>
      </c>
      <c r="B79">
        <f>IFERROR(VLOOKUP(A79,Grootboekschema!$A$1:$B$129,2,0), "")</f>
        <v/>
      </c>
      <c r="D79" t="inlineStr">
        <is>
          <t>V&amp;W</t>
        </is>
      </c>
      <c r="E79" t="n">
        <v>0</v>
      </c>
      <c r="F79" t="n">
        <v>0</v>
      </c>
      <c r="H79">
        <f>SUMIF(Journaal!$A$4:$A$2003,A79,Journaal!$E$4:$E$2003)</f>
        <v/>
      </c>
      <c r="I79">
        <f>SUMIF(Journaal!$A$4:$A$2003,A79,Journaal!$F$4:$F$2003)</f>
        <v/>
      </c>
      <c r="K79">
        <f>IF((E79-F79+H79-I79)&gt;0,E79-F79+H79-I79,0)</f>
        <v/>
      </c>
      <c r="L79">
        <f>IF((F79-E79+I79-H79)&gt;0,F79-E79+I79-H79,0)</f>
        <v/>
      </c>
      <c r="N79">
        <f>K79</f>
        <v/>
      </c>
      <c r="O79">
        <f>L79</f>
        <v/>
      </c>
    </row>
    <row r="80">
      <c r="A80" t="n">
        <v>489</v>
      </c>
      <c r="B80">
        <f>IFERROR(VLOOKUP(A80,Grootboekschema!$A$1:$B$129,2,0), "")</f>
        <v/>
      </c>
      <c r="D80" t="inlineStr">
        <is>
          <t>V&amp;W</t>
        </is>
      </c>
      <c r="E80" t="n">
        <v>0</v>
      </c>
      <c r="F80" t="n">
        <v>0</v>
      </c>
      <c r="H80">
        <f>SUMIF(Journaal!$A$4:$A$2003,A80,Journaal!$E$4:$E$2003)</f>
        <v/>
      </c>
      <c r="I80">
        <f>SUMIF(Journaal!$A$4:$A$2003,A80,Journaal!$F$4:$F$2003)</f>
        <v/>
      </c>
      <c r="K80">
        <f>IF((E80-F80+H80-I80)&gt;0,E80-F80+H80-I80,0)</f>
        <v/>
      </c>
      <c r="L80">
        <f>IF((F80-E80+I80-H80)&gt;0,F80-E80+I80-H80,0)</f>
        <v/>
      </c>
      <c r="N80">
        <f>K80</f>
        <v/>
      </c>
      <c r="O80">
        <f>L80</f>
        <v/>
      </c>
    </row>
    <row r="81">
      <c r="A81" t="n">
        <v>560</v>
      </c>
      <c r="B81">
        <f>IFERROR(VLOOKUP(A81,Grootboekschema!$A$1:$B$129,2,0), "")</f>
        <v/>
      </c>
      <c r="D81" t="inlineStr">
        <is>
          <t>V&amp;W</t>
        </is>
      </c>
      <c r="E81" t="n">
        <v>0</v>
      </c>
      <c r="F81" t="n">
        <v>0</v>
      </c>
      <c r="H81">
        <f>SUMIF(Journaal!$A$4:$A$2003,A81,Journaal!$E$4:$E$2003)</f>
        <v/>
      </c>
      <c r="I81">
        <f>SUMIF(Journaal!$A$4:$A$2003,A81,Journaal!$F$4:$F$2003)</f>
        <v/>
      </c>
      <c r="K81">
        <f>IF((E81-F81+H81-I81)&gt;0,E81-F81+H81-I81,0)</f>
        <v/>
      </c>
      <c r="L81">
        <f>IF((F81-E81+I81-H81)&gt;0,F81-E81+I81-H81,0)</f>
        <v/>
      </c>
      <c r="N81">
        <f>K81</f>
        <v/>
      </c>
      <c r="O81">
        <f>L81</f>
        <v/>
      </c>
    </row>
    <row r="82">
      <c r="A82" t="n">
        <v>561</v>
      </c>
      <c r="B82">
        <f>IFERROR(VLOOKUP(A82,Grootboekschema!$A$1:$B$129,2,0), "")</f>
        <v/>
      </c>
      <c r="D82" t="inlineStr">
        <is>
          <t>V&amp;W</t>
        </is>
      </c>
      <c r="E82" t="n">
        <v>0</v>
      </c>
      <c r="F82" t="n">
        <v>0</v>
      </c>
      <c r="H82">
        <f>SUMIF(Journaal!$A$4:$A$2003,A82,Journaal!$E$4:$E$2003)</f>
        <v/>
      </c>
      <c r="I82">
        <f>SUMIF(Journaal!$A$4:$A$2003,A82,Journaal!$F$4:$F$2003)</f>
        <v/>
      </c>
      <c r="K82">
        <f>IF((E82-F82+H82-I82)&gt;0,E82-F82+H82-I82,0)</f>
        <v/>
      </c>
      <c r="L82">
        <f>IF((F82-E82+I82-H82)&gt;0,F82-E82+I82-H82,0)</f>
        <v/>
      </c>
      <c r="N82">
        <f>K82</f>
        <v/>
      </c>
      <c r="O82">
        <f>L82</f>
        <v/>
      </c>
    </row>
    <row r="83">
      <c r="A83" t="n">
        <v>562</v>
      </c>
      <c r="B83">
        <f>IFERROR(VLOOKUP(A83,Grootboekschema!$A$1:$B$129,2,0), "")</f>
        <v/>
      </c>
      <c r="D83" t="inlineStr">
        <is>
          <t>V&amp;W</t>
        </is>
      </c>
      <c r="E83" t="n">
        <v>0</v>
      </c>
      <c r="F83" t="n">
        <v>0</v>
      </c>
      <c r="H83">
        <f>SUMIF(Journaal!$A$4:$A$2003,A83,Journaal!$E$4:$E$2003)</f>
        <v/>
      </c>
      <c r="I83">
        <f>SUMIF(Journaal!$A$4:$A$2003,A83,Journaal!$F$4:$F$2003)</f>
        <v/>
      </c>
      <c r="K83">
        <f>IF((E83-F83+H83-I83)&gt;0,E83-F83+H83-I83,0)</f>
        <v/>
      </c>
      <c r="L83">
        <f>IF((F83-E83+I83-H83)&gt;0,F83-E83+I83-H83,0)</f>
        <v/>
      </c>
      <c r="N83">
        <f>K83</f>
        <v/>
      </c>
      <c r="O83">
        <f>L83</f>
        <v/>
      </c>
    </row>
    <row r="84">
      <c r="A84" t="n">
        <v>571</v>
      </c>
      <c r="B84">
        <f>IFERROR(VLOOKUP(A84,Grootboekschema!$A$1:$B$129,2,0), "")</f>
        <v/>
      </c>
      <c r="D84" t="inlineStr">
        <is>
          <t>V&amp;W</t>
        </is>
      </c>
      <c r="E84" t="n">
        <v>0</v>
      </c>
      <c r="F84" t="n">
        <v>0</v>
      </c>
      <c r="H84">
        <f>SUMIF(Journaal!$A$4:$A$2003,A84,Journaal!$E$4:$E$2003)</f>
        <v/>
      </c>
      <c r="I84">
        <f>SUMIF(Journaal!$A$4:$A$2003,A84,Journaal!$F$4:$F$2003)</f>
        <v/>
      </c>
      <c r="K84">
        <f>IF((E84-F84+H84-I84)&gt;0,E84-F84+H84-I84,0)</f>
        <v/>
      </c>
      <c r="L84">
        <f>IF((F84-E84+I84-H84)&gt;0,F84-E84+I84-H84,0)</f>
        <v/>
      </c>
      <c r="N84">
        <f>K84</f>
        <v/>
      </c>
      <c r="O84">
        <f>L84</f>
        <v/>
      </c>
    </row>
    <row r="85">
      <c r="A85" t="n">
        <v>574</v>
      </c>
      <c r="B85">
        <f>IFERROR(VLOOKUP(A85,Grootboekschema!$A$1:$B$129,2,0), "")</f>
        <v/>
      </c>
      <c r="D85" t="inlineStr">
        <is>
          <t>V&amp;W</t>
        </is>
      </c>
      <c r="E85" t="n">
        <v>0</v>
      </c>
      <c r="F85" t="n">
        <v>0</v>
      </c>
      <c r="H85">
        <f>SUMIF(Journaal!$A$4:$A$2003,A85,Journaal!$E$4:$E$2003)</f>
        <v/>
      </c>
      <c r="I85">
        <f>SUMIF(Journaal!$A$4:$A$2003,A85,Journaal!$F$4:$F$2003)</f>
        <v/>
      </c>
      <c r="K85">
        <f>IF((E85-F85+H85-I85)&gt;0,E85-F85+H85-I85,0)</f>
        <v/>
      </c>
      <c r="L85">
        <f>IF((F85-E85+I85-H85)&gt;0,F85-E85+I85-H85,0)</f>
        <v/>
      </c>
      <c r="N85">
        <f>K85</f>
        <v/>
      </c>
      <c r="O85">
        <f>L85</f>
        <v/>
      </c>
    </row>
    <row r="86">
      <c r="A86" t="n">
        <v>579</v>
      </c>
      <c r="B86">
        <f>IFERROR(VLOOKUP(A86,Grootboekschema!$A$1:$B$129,2,0), "")</f>
        <v/>
      </c>
      <c r="D86" t="inlineStr">
        <is>
          <t>V&amp;W</t>
        </is>
      </c>
      <c r="E86" t="n">
        <v>0</v>
      </c>
      <c r="F86" t="n">
        <v>0</v>
      </c>
      <c r="H86">
        <f>SUMIF(Journaal!$A$4:$A$2003,A86,Journaal!$E$4:$E$2003)</f>
        <v/>
      </c>
      <c r="I86">
        <f>SUMIF(Journaal!$A$4:$A$2003,A86,Journaal!$F$4:$F$2003)</f>
        <v/>
      </c>
      <c r="K86">
        <f>IF((E86-F86+H86-I86)&gt;0,E86-F86+H86-I86,0)</f>
        <v/>
      </c>
      <c r="L86">
        <f>IF((F86-E86+I86-H86)&gt;0,F86-E86+I86-H86,0)</f>
        <v/>
      </c>
      <c r="N86">
        <f>K86</f>
        <v/>
      </c>
      <c r="O86">
        <f>L86</f>
        <v/>
      </c>
    </row>
    <row r="87">
      <c r="A87" t="n">
        <v>589</v>
      </c>
      <c r="B87">
        <f>IFERROR(VLOOKUP(A87,Grootboekschema!$A$1:$B$129,2,0), "")</f>
        <v/>
      </c>
      <c r="D87" t="inlineStr">
        <is>
          <t>V&amp;W</t>
        </is>
      </c>
      <c r="E87" t="n">
        <v>0</v>
      </c>
      <c r="F87" t="n">
        <v>0</v>
      </c>
      <c r="H87">
        <f>SUMIF(Journaal!$A$4:$A$2003,A87,Journaal!$E$4:$E$2003)</f>
        <v/>
      </c>
      <c r="I87">
        <f>SUMIF(Journaal!$A$4:$A$2003,A87,Journaal!$F$4:$F$2003)</f>
        <v/>
      </c>
      <c r="K87">
        <f>IF((E87-F87+H87-I87)&gt;0,E87-F87+H87-I87,0)</f>
        <v/>
      </c>
      <c r="L87">
        <f>IF((F87-E87+I87-H87)&gt;0,F87-E87+I87-H87,0)</f>
        <v/>
      </c>
      <c r="N87">
        <f>K87</f>
        <v/>
      </c>
      <c r="O87">
        <f>L87</f>
        <v/>
      </c>
    </row>
    <row r="88">
      <c r="A88" t="n">
        <v>600</v>
      </c>
      <c r="B88">
        <f>IFERROR(VLOOKUP(A88,Grootboekschema!$A$1:$B$129,2,0), "")</f>
        <v/>
      </c>
      <c r="D88" t="inlineStr">
        <is>
          <t>V&amp;W</t>
        </is>
      </c>
      <c r="E88" t="n">
        <v>0</v>
      </c>
      <c r="F88" t="n">
        <v>0</v>
      </c>
      <c r="H88">
        <f>SUMIF(Journaal!$A$4:$A$2003,A88,Journaal!$E$4:$E$2003)</f>
        <v/>
      </c>
      <c r="I88">
        <f>SUMIF(Journaal!$A$4:$A$2003,A88,Journaal!$F$4:$F$2003)</f>
        <v/>
      </c>
      <c r="K88">
        <f>IF((E88-F88+H88-I88)&gt;0,E88-F88+H88-I88,0)</f>
        <v/>
      </c>
      <c r="L88">
        <f>IF((F88-E88+I88-H88)&gt;0,F88-E88+I88-H88,0)</f>
        <v/>
      </c>
      <c r="N88">
        <f>K88</f>
        <v/>
      </c>
      <c r="O88">
        <f>L88</f>
        <v/>
      </c>
    </row>
    <row r="89">
      <c r="D89" s="1" t="inlineStr">
        <is>
          <t>Totaal</t>
        </is>
      </c>
      <c r="E89">
        <f>SUM(E4:E88)</f>
        <v/>
      </c>
      <c r="F89">
        <f>SUM(F4:F88)</f>
        <v/>
      </c>
      <c r="H89">
        <f>SUM(H4:H88)</f>
        <v/>
      </c>
      <c r="I89">
        <f>SUM(I4:I88)</f>
        <v/>
      </c>
      <c r="K89">
        <f>SUM(K4:K88)</f>
        <v/>
      </c>
      <c r="L89">
        <f>SUM(L4:L88)</f>
        <v/>
      </c>
      <c r="N89">
        <f>SUM(N4:N88)</f>
        <v/>
      </c>
      <c r="O89">
        <f>SUM(O4:O88)</f>
        <v/>
      </c>
      <c r="Q89">
        <f>SUM(Q4:Q88)</f>
        <v/>
      </c>
      <c r="R89">
        <f>SUM(R4:R88)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Balanspositie</t>
        </is>
      </c>
      <c r="G2" s="1" t="inlineStr">
        <is>
          <t>Boekhouding De Lichtbron - kengetallen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19"/>
  <sheetViews>
    <sheetView workbookViewId="0">
      <selection activeCell="A1" sqref="A1"/>
    </sheetView>
  </sheetViews>
  <sheetFormatPr baseColWidth="8" defaultRowHeight="15"/>
  <sheetData>
    <row r="2">
      <c r="A2" t="inlineStr">
        <is>
          <t>Kasmutaties 2026</t>
        </is>
      </c>
    </row>
    <row r="3">
      <c r="B3" t="inlineStr">
        <is>
          <t>Totaal</t>
        </is>
      </c>
      <c r="C3" t="inlineStr">
        <is>
          <t>Buffet</t>
        </is>
      </c>
      <c r="D3" t="inlineStr">
        <is>
          <t xml:space="preserve">Buffet </t>
        </is>
      </c>
      <c r="E3" t="inlineStr">
        <is>
          <t>Kruispstn</t>
        </is>
      </c>
      <c r="G3" t="inlineStr">
        <is>
          <t>Saldo</t>
        </is>
      </c>
    </row>
    <row r="4">
      <c r="B4" t="inlineStr">
        <is>
          <t>Kas mutatie</t>
        </is>
      </c>
      <c r="C4" t="inlineStr">
        <is>
          <t>kas ontv.</t>
        </is>
      </c>
      <c r="D4" t="inlineStr">
        <is>
          <t>inkopen</t>
        </is>
      </c>
      <c r="G4" t="inlineStr">
        <is>
          <t>Kas</t>
        </is>
      </c>
    </row>
    <row r="5">
      <c r="B5" t="inlineStr">
        <is>
          <t>#121</t>
        </is>
      </c>
      <c r="C5" t="inlineStr">
        <is>
          <t>#411</t>
        </is>
      </c>
      <c r="D5" t="inlineStr">
        <is>
          <t>#450</t>
        </is>
      </c>
      <c r="E5" t="inlineStr">
        <is>
          <t>#199</t>
        </is>
      </c>
      <c r="G5" t="inlineStr">
        <is>
          <t>#121</t>
        </is>
      </c>
    </row>
    <row r="6">
      <c r="B6" t="inlineStr">
        <is>
          <t>Dt./Cr.</t>
        </is>
      </c>
      <c r="C6" t="inlineStr">
        <is>
          <t>Cr.</t>
        </is>
      </c>
      <c r="D6" t="inlineStr">
        <is>
          <t>Dt.</t>
        </is>
      </c>
      <c r="E6" t="inlineStr">
        <is>
          <t>Dt./Cr.</t>
        </is>
      </c>
    </row>
    <row r="7">
      <c r="A7" t="inlineStr">
        <is>
          <t>Januari</t>
        </is>
      </c>
      <c r="B7">
        <f>C7-D7+E7</f>
        <v/>
      </c>
      <c r="C7" t="n">
        <v>131.8</v>
      </c>
      <c r="G7">
        <f>G6+B7</f>
        <v/>
      </c>
      <c r="I7" t="inlineStr">
        <is>
          <t>Wordt overgenomen uit de maandoverzichten in Exploitatie/koster</t>
        </is>
      </c>
    </row>
    <row r="8">
      <c r="A8" t="inlineStr">
        <is>
          <t>Februari</t>
        </is>
      </c>
      <c r="B8">
        <f>C8-D8+E8</f>
        <v/>
      </c>
      <c r="G8">
        <f>G7+B8</f>
        <v/>
      </c>
      <c r="I8" t="inlineStr">
        <is>
          <t>Vraag: waarom hier ook alle details?</t>
        </is>
      </c>
    </row>
    <row r="9">
      <c r="A9" t="inlineStr">
        <is>
          <t>Maart</t>
        </is>
      </c>
      <c r="B9">
        <f>C9-D9+E9</f>
        <v/>
      </c>
      <c r="G9">
        <f>G8+B9</f>
        <v/>
      </c>
      <c r="I9" t="inlineStr">
        <is>
          <t>Vraag: Kruisposten?</t>
        </is>
      </c>
    </row>
    <row r="10">
      <c r="A10" t="inlineStr">
        <is>
          <t>April</t>
        </is>
      </c>
      <c r="B10">
        <f>C10-D10+E10</f>
        <v/>
      </c>
      <c r="G10">
        <f>G9+B10</f>
        <v/>
      </c>
    </row>
    <row r="11">
      <c r="A11" t="inlineStr">
        <is>
          <t>Mei</t>
        </is>
      </c>
      <c r="B11">
        <f>C11-D11+E11</f>
        <v/>
      </c>
      <c r="G11">
        <f>G10+B11</f>
        <v/>
      </c>
    </row>
    <row r="12">
      <c r="A12" t="inlineStr">
        <is>
          <t>Juni</t>
        </is>
      </c>
      <c r="B12">
        <f>C12-D12+E12</f>
        <v/>
      </c>
      <c r="G12">
        <f>G11+B12</f>
        <v/>
      </c>
    </row>
    <row r="13">
      <c r="A13" t="inlineStr">
        <is>
          <t>Juli</t>
        </is>
      </c>
      <c r="B13">
        <f>C13-D13+E13</f>
        <v/>
      </c>
      <c r="G13">
        <f>G12+B13</f>
        <v/>
      </c>
    </row>
    <row r="14">
      <c r="A14" t="inlineStr">
        <is>
          <t>Augustus</t>
        </is>
      </c>
      <c r="B14">
        <f>C14-D14+E14</f>
        <v/>
      </c>
      <c r="G14">
        <f>G13+B14</f>
        <v/>
      </c>
    </row>
    <row r="15">
      <c r="A15" t="inlineStr">
        <is>
          <t>September</t>
        </is>
      </c>
      <c r="B15">
        <f>C15-D15+E15</f>
        <v/>
      </c>
      <c r="G15">
        <f>G14+B15</f>
        <v/>
      </c>
    </row>
    <row r="16">
      <c r="A16" t="inlineStr">
        <is>
          <t>Oktober</t>
        </is>
      </c>
      <c r="B16">
        <f>C16-D16+E16</f>
        <v/>
      </c>
      <c r="G16">
        <f>G15+B16</f>
        <v/>
      </c>
    </row>
    <row r="17">
      <c r="A17" t="inlineStr">
        <is>
          <t>November</t>
        </is>
      </c>
      <c r="B17">
        <f>C17-D17+E17</f>
        <v/>
      </c>
      <c r="G17">
        <f>G16+B17</f>
        <v/>
      </c>
    </row>
    <row r="18">
      <c r="A18" t="inlineStr">
        <is>
          <t>December</t>
        </is>
      </c>
      <c r="B18">
        <f>C18-D18+E18</f>
        <v/>
      </c>
      <c r="G18">
        <f>G17+B18</f>
        <v/>
      </c>
    </row>
    <row r="19">
      <c r="A19" t="inlineStr">
        <is>
          <t>Totaal (op rek.)</t>
        </is>
      </c>
      <c r="B19">
        <f>SUM(B7:B18)</f>
        <v/>
      </c>
      <c r="C19">
        <f>SUM(C7:C18)</f>
        <v/>
      </c>
      <c r="D19">
        <f>SUM(D7:D18)</f>
        <v/>
      </c>
      <c r="E19">
        <f>SUM(E7:E18)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Facturen via JORTT 2026:</t>
        </is>
      </c>
    </row>
    <row r="2">
      <c r="C2" t="inlineStr">
        <is>
          <t>Totaal</t>
        </is>
      </c>
      <c r="D2" t="inlineStr">
        <is>
          <t>Huur</t>
        </is>
      </c>
      <c r="E2" t="inlineStr">
        <is>
          <t>Buffet</t>
        </is>
      </c>
    </row>
    <row r="3">
      <c r="C3" t="inlineStr">
        <is>
          <t>Debiteuren</t>
        </is>
      </c>
      <c r="D3" t="inlineStr">
        <is>
          <t>op rek.</t>
        </is>
      </c>
      <c r="E3" t="inlineStr">
        <is>
          <t>op rek.</t>
        </is>
      </c>
    </row>
    <row r="4">
      <c r="C4" t="inlineStr">
        <is>
          <t>#140</t>
        </is>
      </c>
      <c r="D4" t="inlineStr">
        <is>
          <t>#400</t>
        </is>
      </c>
      <c r="E4" t="inlineStr">
        <is>
          <t>#410</t>
        </is>
      </c>
    </row>
    <row r="5">
      <c r="C5" t="inlineStr">
        <is>
          <t>Dt.</t>
        </is>
      </c>
      <c r="D5" t="inlineStr">
        <is>
          <t>Cr.</t>
        </is>
      </c>
      <c r="E5" t="inlineStr">
        <is>
          <t>Cr.</t>
        </is>
      </c>
    </row>
    <row r="6">
      <c r="B6" t="inlineStr">
        <is>
          <t>Januari</t>
        </is>
      </c>
      <c r="C6">
        <f>SUM(D6:E6)</f>
        <v/>
      </c>
      <c r="D6" t="n">
        <v>2784</v>
      </c>
      <c r="E6" t="n">
        <v>1312</v>
      </c>
      <c r="G6" t="inlineStr">
        <is>
          <t>Deze bedragen overnemen uit Debiteuren sheet</t>
        </is>
      </c>
    </row>
    <row r="7">
      <c r="B7" t="inlineStr">
        <is>
          <t>Februari</t>
        </is>
      </c>
      <c r="C7">
        <f>SUM(D7:E7)</f>
        <v/>
      </c>
      <c r="G7" t="inlineStr">
        <is>
          <t>Als we deze sheets samenvoegen dan kan dit veel eenvoudiger</t>
        </is>
      </c>
    </row>
    <row r="8">
      <c r="B8" t="inlineStr">
        <is>
          <t>Maart</t>
        </is>
      </c>
      <c r="C8">
        <f>SUM(D8:E8)</f>
        <v/>
      </c>
    </row>
    <row r="9">
      <c r="B9" t="inlineStr">
        <is>
          <t>April</t>
        </is>
      </c>
      <c r="C9">
        <f>SUM(D9:E9)</f>
        <v/>
      </c>
    </row>
    <row r="10">
      <c r="B10" t="inlineStr">
        <is>
          <t>Mei</t>
        </is>
      </c>
      <c r="C10">
        <f>SUM(D10:E10)</f>
        <v/>
      </c>
    </row>
    <row r="11">
      <c r="B11" t="inlineStr">
        <is>
          <t>Juni</t>
        </is>
      </c>
      <c r="C11">
        <f>SUM(D11:E11)</f>
        <v/>
      </c>
    </row>
    <row r="12">
      <c r="B12" t="inlineStr">
        <is>
          <t>Juli</t>
        </is>
      </c>
      <c r="C12">
        <f>SUM(D12:E12)</f>
        <v/>
      </c>
    </row>
    <row r="13">
      <c r="B13" t="inlineStr">
        <is>
          <t>Augustus</t>
        </is>
      </c>
      <c r="C13">
        <f>SUM(D13:E13)</f>
        <v/>
      </c>
    </row>
    <row r="14">
      <c r="B14" t="inlineStr">
        <is>
          <t>September</t>
        </is>
      </c>
      <c r="C14">
        <f>SUM(D14:E14)</f>
        <v/>
      </c>
    </row>
    <row r="15">
      <c r="B15" t="inlineStr">
        <is>
          <t>Oktober</t>
        </is>
      </c>
      <c r="C15">
        <f>SUM(D15:E15)</f>
        <v/>
      </c>
    </row>
    <row r="16">
      <c r="B16" t="inlineStr">
        <is>
          <t>November</t>
        </is>
      </c>
      <c r="C16">
        <f>SUM(D16:E16)</f>
        <v/>
      </c>
    </row>
    <row r="17">
      <c r="B17" t="inlineStr">
        <is>
          <t>December</t>
        </is>
      </c>
      <c r="C17">
        <f>SUM(D17:E17)</f>
        <v/>
      </c>
    </row>
    <row r="18">
      <c r="B18" t="inlineStr">
        <is>
          <t>Totaal (op rekening)</t>
        </is>
      </c>
      <c r="C18">
        <f>SUM(C6:C17)</f>
        <v/>
      </c>
      <c r="D18">
        <f>SUM(D6:D17)</f>
        <v/>
      </c>
      <c r="E18">
        <f>SUM(E6:E17)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t="n">
        <v>10</v>
      </c>
      <c r="B1" t="inlineStr">
        <is>
          <t>Vaste activa</t>
        </is>
      </c>
    </row>
    <row r="2">
      <c r="A2" t="n">
        <v>30</v>
      </c>
      <c r="B2" t="inlineStr">
        <is>
          <t>Algemene kosten</t>
        </is>
      </c>
    </row>
    <row r="3">
      <c r="A3" t="n">
        <v>31</v>
      </c>
      <c r="B3" t="inlineStr">
        <is>
          <t>Kosten eredienst</t>
        </is>
      </c>
    </row>
    <row r="4">
      <c r="A4" t="n">
        <v>32</v>
      </c>
      <c r="B4" t="inlineStr">
        <is>
          <t>Kosten gemeenteactiviteiten</t>
        </is>
      </c>
    </row>
    <row r="5">
      <c r="A5" t="n">
        <v>33</v>
      </c>
      <c r="B5" t="inlineStr">
        <is>
          <t>Kosten ouderenwerk</t>
        </is>
      </c>
    </row>
    <row r="6">
      <c r="A6" t="n">
        <v>34</v>
      </c>
      <c r="B6" t="inlineStr">
        <is>
          <t>Kosten jongerenwerk</t>
        </is>
      </c>
    </row>
    <row r="7">
      <c r="A7" t="n">
        <v>36</v>
      </c>
      <c r="B7" t="inlineStr">
        <is>
          <t>Overige kosten</t>
        </is>
      </c>
    </row>
    <row r="8">
      <c r="A8" t="n">
        <v>50</v>
      </c>
      <c r="B8" t="inlineStr">
        <is>
          <t>Algemene wijkreserve</t>
        </is>
      </c>
    </row>
    <row r="9">
      <c r="A9" t="n">
        <v>60</v>
      </c>
      <c r="B9" t="inlineStr">
        <is>
          <t>Wijkfonds</t>
        </is>
      </c>
    </row>
    <row r="10">
      <c r="A10" t="n">
        <v>70</v>
      </c>
      <c r="B10" t="inlineStr">
        <is>
          <t>Wijkreserve Bestemd</t>
        </is>
      </c>
    </row>
    <row r="11">
      <c r="A11" t="n">
        <v>71</v>
      </c>
      <c r="B11" t="inlineStr">
        <is>
          <t>Reservering Regenboogfonds</t>
        </is>
      </c>
    </row>
    <row r="12">
      <c r="A12" t="n">
        <v>72</v>
      </c>
      <c r="B12" t="inlineStr">
        <is>
          <t>Reservering Jongerenreis Bovenwijks</t>
        </is>
      </c>
    </row>
    <row r="13">
      <c r="A13" t="n">
        <v>73</v>
      </c>
      <c r="B13" t="inlineStr">
        <is>
          <t>Reservering Legaten</t>
        </is>
      </c>
    </row>
    <row r="14">
      <c r="A14" t="n">
        <v>80</v>
      </c>
      <c r="B14" t="inlineStr">
        <is>
          <t>Reserve decentraal onderhoud</t>
        </is>
      </c>
    </row>
    <row r="15">
      <c r="A15" t="n">
        <v>100</v>
      </c>
      <c r="B15" t="inlineStr">
        <is>
          <t>Bankrekeningen</t>
        </is>
      </c>
    </row>
    <row r="16">
      <c r="A16" t="n">
        <v>109</v>
      </c>
      <c r="B16" t="inlineStr">
        <is>
          <t>Ouderensoos</t>
        </is>
      </c>
    </row>
    <row r="17">
      <c r="A17" t="n">
        <v>110</v>
      </c>
      <c r="B17" t="inlineStr">
        <is>
          <t>Spaargelden</t>
        </is>
      </c>
    </row>
    <row r="18">
      <c r="A18" t="n">
        <v>120</v>
      </c>
      <c r="B18" t="inlineStr">
        <is>
          <t>Bankrekeningen</t>
        </is>
      </c>
    </row>
    <row r="19">
      <c r="A19" t="n">
        <v>121</v>
      </c>
      <c r="B19" t="inlineStr">
        <is>
          <t>Kas beheerder/koster</t>
        </is>
      </c>
    </row>
    <row r="20">
      <c r="A20" t="n">
        <v>129</v>
      </c>
      <c r="B20" t="inlineStr">
        <is>
          <t>Spaargeld Centraal</t>
        </is>
      </c>
    </row>
    <row r="21">
      <c r="A21" t="n">
        <v>130</v>
      </c>
      <c r="B21" t="inlineStr">
        <is>
          <t>Buffetvoorraad</t>
        </is>
      </c>
    </row>
    <row r="22">
      <c r="A22" t="n">
        <v>140</v>
      </c>
      <c r="B22" t="inlineStr">
        <is>
          <t>Debiteuren</t>
        </is>
      </c>
    </row>
    <row r="23">
      <c r="A23" t="n">
        <v>150</v>
      </c>
      <c r="B23" t="inlineStr">
        <is>
          <t>Vorderingen</t>
        </is>
      </c>
    </row>
    <row r="24">
      <c r="A24" t="n">
        <v>160</v>
      </c>
      <c r="B24" t="inlineStr">
        <is>
          <t>Schulden</t>
        </is>
      </c>
    </row>
    <row r="25">
      <c r="A25" t="n">
        <v>162</v>
      </c>
      <c r="B25" t="inlineStr">
        <is>
          <t>Te betalen kosten Lichtjestocht</t>
        </is>
      </c>
    </row>
    <row r="26">
      <c r="A26" t="n">
        <v>164</v>
      </c>
      <c r="B26" t="inlineStr">
        <is>
          <t>Reservering LAK</t>
        </is>
      </c>
    </row>
    <row r="27">
      <c r="A27" t="n">
        <v>165</v>
      </c>
      <c r="B27" t="inlineStr">
        <is>
          <t>Reservering Lichtjestocht</t>
        </is>
      </c>
    </row>
    <row r="28">
      <c r="A28" t="n">
        <v>170</v>
      </c>
      <c r="B28" t="inlineStr">
        <is>
          <t>Inkomsten collectebonnen</t>
        </is>
      </c>
    </row>
    <row r="29">
      <c r="A29" t="n">
        <v>171</v>
      </c>
      <c r="B29" t="inlineStr">
        <is>
          <t>Afdracht collectebonnen</t>
        </is>
      </c>
    </row>
    <row r="30">
      <c r="A30" t="n">
        <v>196</v>
      </c>
      <c r="B30" t="inlineStr">
        <is>
          <t>Verrekeningen</t>
        </is>
      </c>
    </row>
    <row r="31">
      <c r="A31" t="n">
        <v>197</v>
      </c>
      <c r="B31" t="inlineStr">
        <is>
          <t>Saldo vorig jaar</t>
        </is>
      </c>
    </row>
    <row r="32">
      <c r="A32" t="n">
        <v>199</v>
      </c>
      <c r="B32" t="inlineStr">
        <is>
          <t>Kruisposten</t>
        </is>
      </c>
    </row>
    <row r="33">
      <c r="A33" t="n">
        <v>200</v>
      </c>
      <c r="B33" t="inlineStr">
        <is>
          <t>Vraagposten</t>
        </is>
      </c>
    </row>
    <row r="34">
      <c r="A34" t="n">
        <v>210</v>
      </c>
      <c r="B34" t="inlineStr">
        <is>
          <t>Giften</t>
        </is>
      </c>
    </row>
    <row r="35">
      <c r="A35" t="n">
        <v>215</v>
      </c>
      <c r="B35" t="inlineStr">
        <is>
          <t>Doorzendgiften</t>
        </is>
      </c>
    </row>
    <row r="36">
      <c r="A36" t="n">
        <v>220</v>
      </c>
      <c r="B36" t="inlineStr">
        <is>
          <t>Collecten</t>
        </is>
      </c>
    </row>
    <row r="37">
      <c r="A37" t="n">
        <v>225</v>
      </c>
      <c r="B37" t="inlineStr">
        <is>
          <t>Doorzendcollecten</t>
        </is>
      </c>
    </row>
    <row r="38">
      <c r="A38" t="n">
        <v>230</v>
      </c>
      <c r="B38" t="inlineStr">
        <is>
          <t>Verjaardagsfonds</t>
        </is>
      </c>
    </row>
    <row r="39">
      <c r="A39" t="n">
        <v>240</v>
      </c>
      <c r="B39" t="inlineStr">
        <is>
          <t>Rente</t>
        </is>
      </c>
    </row>
    <row r="40">
      <c r="A40" t="n">
        <v>265</v>
      </c>
      <c r="B40" t="inlineStr">
        <is>
          <t>Subsidies Kerktuin</t>
        </is>
      </c>
    </row>
    <row r="41">
      <c r="A41" t="n">
        <v>290</v>
      </c>
      <c r="B41" t="inlineStr">
        <is>
          <t>Overige baten</t>
        </is>
      </c>
    </row>
    <row r="42">
      <c r="A42" t="n">
        <v>300</v>
      </c>
      <c r="B42" t="inlineStr">
        <is>
          <t>Wijkkerkenraad</t>
        </is>
      </c>
    </row>
    <row r="43">
      <c r="A43" t="n">
        <v>301</v>
      </c>
      <c r="B43" t="inlineStr">
        <is>
          <t>Scribaat</t>
        </is>
      </c>
    </row>
    <row r="44">
      <c r="A44" t="n">
        <v>302</v>
      </c>
      <c r="B44" t="inlineStr">
        <is>
          <t>Drukwerk</t>
        </is>
      </c>
    </row>
    <row r="45">
      <c r="A45" t="n">
        <v>303</v>
      </c>
      <c r="B45" t="inlineStr">
        <is>
          <t>Abonnementen</t>
        </is>
      </c>
    </row>
    <row r="46">
      <c r="A46" t="n">
        <v>304</v>
      </c>
      <c r="B46" t="inlineStr">
        <is>
          <t>Kosten vrijwilligers</t>
        </is>
      </c>
    </row>
    <row r="47">
      <c r="A47" t="n">
        <v>305</v>
      </c>
      <c r="B47" t="inlineStr">
        <is>
          <t>Bankkosten</t>
        </is>
      </c>
    </row>
    <row r="48">
      <c r="A48" t="n">
        <v>306</v>
      </c>
      <c r="B48" t="inlineStr">
        <is>
          <t>Administratie</t>
        </is>
      </c>
    </row>
    <row r="49">
      <c r="A49" t="n">
        <v>307</v>
      </c>
      <c r="B49" t="inlineStr">
        <is>
          <t>Internet en website</t>
        </is>
      </c>
    </row>
    <row r="50">
      <c r="A50" t="n">
        <v>308</v>
      </c>
      <c r="B50" t="inlineStr">
        <is>
          <t>Kosterij</t>
        </is>
      </c>
    </row>
    <row r="51">
      <c r="A51" t="n">
        <v>309</v>
      </c>
      <c r="B51" t="inlineStr">
        <is>
          <t>Overige kosten</t>
        </is>
      </c>
    </row>
    <row r="52">
      <c r="A52" t="n">
        <v>310</v>
      </c>
      <c r="B52" t="inlineStr">
        <is>
          <t>Werkgroep eredienst</t>
        </is>
      </c>
    </row>
    <row r="53">
      <c r="A53" t="n">
        <v>311</v>
      </c>
      <c r="B53" t="inlineStr">
        <is>
          <t>Kosten eredienst</t>
        </is>
      </c>
    </row>
    <row r="54">
      <c r="A54" t="n">
        <v>312</v>
      </c>
      <c r="B54" t="inlineStr">
        <is>
          <t>Cantorij en koren</t>
        </is>
      </c>
    </row>
    <row r="55">
      <c r="A55" t="n">
        <v>313</v>
      </c>
      <c r="B55" t="inlineStr">
        <is>
          <t>Koffie na de dienst</t>
        </is>
      </c>
    </row>
    <row r="56">
      <c r="A56" t="n">
        <v>314</v>
      </c>
      <c r="B56" t="inlineStr">
        <is>
          <t>Kerktelefoon/televisie</t>
        </is>
      </c>
    </row>
    <row r="57">
      <c r="A57" t="n">
        <v>315</v>
      </c>
      <c r="B57" t="inlineStr">
        <is>
          <t>Exposities</t>
        </is>
      </c>
    </row>
    <row r="58">
      <c r="A58" t="n">
        <v>316</v>
      </c>
      <c r="B58" t="inlineStr">
        <is>
          <t>Doop, belijdenis, spec. dienst</t>
        </is>
      </c>
    </row>
    <row r="59">
      <c r="A59" t="n">
        <v>319</v>
      </c>
      <c r="B59" t="inlineStr">
        <is>
          <t>Overige kosten eredienst</t>
        </is>
      </c>
    </row>
    <row r="60">
      <c r="A60" t="n">
        <v>320</v>
      </c>
      <c r="B60" t="inlineStr">
        <is>
          <t>Vorming en toerusting</t>
        </is>
      </c>
    </row>
    <row r="61">
      <c r="A61" t="n">
        <v>321</v>
      </c>
      <c r="B61" t="inlineStr">
        <is>
          <t>Gemeenteavonden</t>
        </is>
      </c>
    </row>
    <row r="62">
      <c r="A62" t="n">
        <v>322</v>
      </c>
      <c r="B62" t="inlineStr">
        <is>
          <t>Gemeenteweekenden</t>
        </is>
      </c>
    </row>
    <row r="63">
      <c r="A63" t="n">
        <v>323</v>
      </c>
      <c r="B63" t="inlineStr">
        <is>
          <t>Concerten / Lichtjestocht</t>
        </is>
      </c>
    </row>
    <row r="64">
      <c r="A64" t="n">
        <v>324</v>
      </c>
      <c r="B64" t="inlineStr">
        <is>
          <t>Contacten met derden</t>
        </is>
      </c>
    </row>
    <row r="65">
      <c r="A65" t="n">
        <v>325</v>
      </c>
      <c r="B65" t="inlineStr">
        <is>
          <t>Alpha cursussen</t>
        </is>
      </c>
    </row>
    <row r="66">
      <c r="A66" t="n">
        <v>329</v>
      </c>
      <c r="B66" t="inlineStr">
        <is>
          <t>Overige kosten gemeente-activiteiten</t>
        </is>
      </c>
    </row>
    <row r="67">
      <c r="A67" t="n">
        <v>330</v>
      </c>
      <c r="B67" t="inlineStr">
        <is>
          <t>Contactmiddagen/soos</t>
        </is>
      </c>
    </row>
    <row r="68">
      <c r="A68" t="n">
        <v>331</v>
      </c>
      <c r="B68" t="inlineStr">
        <is>
          <t>Uitstapjes</t>
        </is>
      </c>
    </row>
    <row r="69">
      <c r="A69" t="n">
        <v>332</v>
      </c>
      <c r="B69" t="inlineStr">
        <is>
          <t>Maaltijden</t>
        </is>
      </c>
    </row>
    <row r="70">
      <c r="A70" t="n">
        <v>333</v>
      </c>
      <c r="B70" t="inlineStr">
        <is>
          <t>Attenties bij verjaardagen</t>
        </is>
      </c>
    </row>
    <row r="71">
      <c r="A71" t="n">
        <v>334</v>
      </c>
      <c r="B71" t="inlineStr">
        <is>
          <t>Kerstattenties</t>
        </is>
      </c>
    </row>
    <row r="72">
      <c r="A72" t="n">
        <v>339</v>
      </c>
      <c r="B72" t="inlineStr">
        <is>
          <t>Overige kosten ouderenwerk</t>
        </is>
      </c>
    </row>
    <row r="73">
      <c r="A73" t="n">
        <v>340</v>
      </c>
      <c r="B73" t="inlineStr">
        <is>
          <t>Catechese</t>
        </is>
      </c>
    </row>
    <row r="74">
      <c r="A74" t="n">
        <v>341</v>
      </c>
      <c r="B74" t="inlineStr">
        <is>
          <t>Jongerendiensten</t>
        </is>
      </c>
    </row>
    <row r="75">
      <c r="A75" t="n">
        <v>342</v>
      </c>
      <c r="B75" t="inlineStr">
        <is>
          <t>Buitenevenementen</t>
        </is>
      </c>
    </row>
    <row r="76">
      <c r="A76" t="n">
        <v>343</v>
      </c>
      <c r="B76" t="inlineStr">
        <is>
          <t>Culturele evenementen</t>
        </is>
      </c>
    </row>
    <row r="77">
      <c r="A77" t="n">
        <v>344</v>
      </c>
      <c r="B77" t="inlineStr">
        <is>
          <t>Koren</t>
        </is>
      </c>
    </row>
    <row r="78">
      <c r="A78" t="n">
        <v>349</v>
      </c>
      <c r="B78" t="inlineStr">
        <is>
          <t>Overige kosten jongerenwerk</t>
        </is>
      </c>
    </row>
    <row r="79">
      <c r="A79" t="n">
        <v>350</v>
      </c>
      <c r="B79" t="inlineStr">
        <is>
          <t>Vitamine G</t>
        </is>
      </c>
    </row>
    <row r="80">
      <c r="A80" t="n">
        <v>356</v>
      </c>
      <c r="B80" t="inlineStr">
        <is>
          <t>Evangelisatiecommissie</t>
        </is>
      </c>
    </row>
    <row r="81">
      <c r="A81" t="n">
        <v>357</v>
      </c>
      <c r="B81" t="inlineStr">
        <is>
          <t>Zendingscommissie</t>
        </is>
      </c>
    </row>
    <row r="82">
      <c r="A82" t="n">
        <v>360</v>
      </c>
      <c r="B82" t="inlineStr">
        <is>
          <t>Diverse kosten</t>
        </is>
      </c>
    </row>
    <row r="83">
      <c r="A83" t="n">
        <v>364</v>
      </c>
      <c r="B83" t="inlineStr">
        <is>
          <t>Kopieermachine</t>
        </is>
      </c>
    </row>
    <row r="84">
      <c r="A84" t="n">
        <v>365</v>
      </c>
      <c r="B84" t="inlineStr">
        <is>
          <t>Kerktuin</t>
        </is>
      </c>
    </row>
    <row r="85">
      <c r="A85" t="n">
        <v>370</v>
      </c>
      <c r="B85" t="inlineStr">
        <is>
          <t>Paaskaars</t>
        </is>
      </c>
    </row>
    <row r="86">
      <c r="A86" t="n">
        <v>392</v>
      </c>
      <c r="B86" t="inlineStr">
        <is>
          <t>Kerkbalans (naar PgH)</t>
        </is>
      </c>
    </row>
    <row r="87">
      <c r="A87" t="n">
        <v>400</v>
      </c>
      <c r="B87" t="inlineStr">
        <is>
          <t>Verhuur op rekening</t>
        </is>
      </c>
    </row>
    <row r="88">
      <c r="A88" t="n">
        <v>401</v>
      </c>
      <c r="B88" t="inlineStr">
        <is>
          <t>Verhuur contant</t>
        </is>
      </c>
    </row>
    <row r="89">
      <c r="A89" t="n">
        <v>402</v>
      </c>
      <c r="B89" t="inlineStr">
        <is>
          <t>Wijkkas naar PgH</t>
        </is>
      </c>
    </row>
    <row r="90">
      <c r="A90" t="n">
        <v>404</v>
      </c>
      <c r="B90" t="inlineStr">
        <is>
          <t>Verhuur ruimte pedicure</t>
        </is>
      </c>
    </row>
    <row r="91">
      <c r="A91" t="n">
        <v>407</v>
      </c>
      <c r="B91" t="inlineStr">
        <is>
          <t>Kerststal</t>
        </is>
      </c>
    </row>
    <row r="92">
      <c r="A92" t="n">
        <v>410</v>
      </c>
      <c r="B92" t="inlineStr">
        <is>
          <t>Buffet op rekening</t>
        </is>
      </c>
    </row>
    <row r="93">
      <c r="A93" t="n">
        <v>411</v>
      </c>
      <c r="B93" t="inlineStr">
        <is>
          <t>Buffet contant</t>
        </is>
      </c>
    </row>
    <row r="94">
      <c r="A94" t="n">
        <v>412</v>
      </c>
      <c r="B94" t="inlineStr">
        <is>
          <t>Buffet PIN</t>
        </is>
      </c>
    </row>
    <row r="95">
      <c r="A95" t="n">
        <v>420</v>
      </c>
      <c r="B95" t="inlineStr">
        <is>
          <t>Verhuur apparatuur</t>
        </is>
      </c>
    </row>
    <row r="96">
      <c r="A96" t="n">
        <v>421</v>
      </c>
      <c r="B96" t="inlineStr">
        <is>
          <t>Verhuur muziekinstrumenten</t>
        </is>
      </c>
    </row>
    <row r="97">
      <c r="A97" t="n">
        <v>428</v>
      </c>
      <c r="B97" t="inlineStr">
        <is>
          <t>Opbrengst bazar</t>
        </is>
      </c>
    </row>
    <row r="98">
      <c r="A98" t="n">
        <v>429</v>
      </c>
      <c r="B98" t="inlineStr">
        <is>
          <t>Overige baten</t>
        </is>
      </c>
    </row>
    <row r="99">
      <c r="A99" t="n">
        <v>430</v>
      </c>
      <c r="B99" t="inlineStr">
        <is>
          <t>Bankrente</t>
        </is>
      </c>
    </row>
    <row r="100">
      <c r="A100" t="n">
        <v>450</v>
      </c>
      <c r="B100" t="inlineStr">
        <is>
          <t>Inkoop buffet</t>
        </is>
      </c>
    </row>
    <row r="101">
      <c r="A101" t="n">
        <v>455</v>
      </c>
      <c r="B101" t="inlineStr">
        <is>
          <t>Afrekening personeelskosten koster</t>
        </is>
      </c>
    </row>
    <row r="102">
      <c r="A102" t="n">
        <v>459</v>
      </c>
      <c r="B102" t="inlineStr">
        <is>
          <t>Overige kosten buffet</t>
        </is>
      </c>
    </row>
    <row r="103">
      <c r="A103" t="n">
        <v>460</v>
      </c>
      <c r="B103" t="inlineStr">
        <is>
          <t>Schoonmaakbedrijf</t>
        </is>
      </c>
    </row>
    <row r="104">
      <c r="A104" t="n">
        <v>470</v>
      </c>
      <c r="B104" t="inlineStr">
        <is>
          <t>Onderhoud vleugel/piano</t>
        </is>
      </c>
    </row>
    <row r="105">
      <c r="A105" t="n">
        <v>480</v>
      </c>
      <c r="B105" t="inlineStr">
        <is>
          <t>Bankkosten</t>
        </is>
      </c>
    </row>
    <row r="106">
      <c r="A106" t="n">
        <v>481</v>
      </c>
      <c r="B106" t="inlineStr">
        <is>
          <t>Kantoorartikelen</t>
        </is>
      </c>
    </row>
    <row r="107">
      <c r="A107" t="n">
        <v>482</v>
      </c>
      <c r="B107" t="inlineStr">
        <is>
          <t>Vergoeding vrijwilligers</t>
        </is>
      </c>
    </row>
    <row r="108">
      <c r="A108" t="n">
        <v>489</v>
      </c>
      <c r="B108" t="inlineStr">
        <is>
          <t>Overige kosten</t>
        </is>
      </c>
    </row>
    <row r="109">
      <c r="A109" t="n">
        <v>500</v>
      </c>
      <c r="B109" t="inlineStr">
        <is>
          <t>Jaarbijdrage</t>
        </is>
      </c>
    </row>
    <row r="110">
      <c r="A110" t="n">
        <v>509</v>
      </c>
      <c r="B110" t="inlineStr">
        <is>
          <t>Jaarsaldo</t>
        </is>
      </c>
    </row>
    <row r="111">
      <c r="A111" t="n">
        <v>550</v>
      </c>
      <c r="B111" t="inlineStr">
        <is>
          <t>Verwarming</t>
        </is>
      </c>
    </row>
    <row r="112">
      <c r="A112" t="n">
        <v>551</v>
      </c>
      <c r="B112" t="inlineStr">
        <is>
          <t>Electra</t>
        </is>
      </c>
    </row>
    <row r="113">
      <c r="A113" t="n">
        <v>552</v>
      </c>
      <c r="B113" t="inlineStr">
        <is>
          <t>Noodverlichting</t>
        </is>
      </c>
    </row>
    <row r="114">
      <c r="A114" t="n">
        <v>553</v>
      </c>
      <c r="B114" t="inlineStr">
        <is>
          <t>Klokken</t>
        </is>
      </c>
    </row>
    <row r="115">
      <c r="A115" t="n">
        <v>559</v>
      </c>
      <c r="B115" t="inlineStr">
        <is>
          <t>Overige kosten installaties</t>
        </is>
      </c>
    </row>
    <row r="116">
      <c r="A116" t="n">
        <v>560</v>
      </c>
      <c r="B116" t="inlineStr">
        <is>
          <t>Schoonhouden</t>
        </is>
      </c>
    </row>
    <row r="117">
      <c r="A117" t="n">
        <v>561</v>
      </c>
      <c r="B117" t="inlineStr">
        <is>
          <t>Glasbewassing</t>
        </is>
      </c>
    </row>
    <row r="118">
      <c r="A118" t="n">
        <v>562</v>
      </c>
      <c r="B118" t="inlineStr">
        <is>
          <t>Vuilafvoer</t>
        </is>
      </c>
    </row>
    <row r="119">
      <c r="A119" t="n">
        <v>563</v>
      </c>
      <c r="B119" t="inlineStr">
        <is>
          <t>Planten</t>
        </is>
      </c>
    </row>
    <row r="120">
      <c r="A120" t="n">
        <v>569</v>
      </c>
      <c r="B120" t="inlineStr">
        <is>
          <t>Overige kosten interieur</t>
        </is>
      </c>
    </row>
    <row r="121">
      <c r="A121" t="n">
        <v>570</v>
      </c>
      <c r="B121" t="inlineStr">
        <is>
          <t>Periodieke vervanging</t>
        </is>
      </c>
    </row>
    <row r="122">
      <c r="A122" t="n">
        <v>571</v>
      </c>
      <c r="B122" t="inlineStr">
        <is>
          <t>Reparaties</t>
        </is>
      </c>
    </row>
    <row r="123">
      <c r="A123" t="n">
        <v>572</v>
      </c>
      <c r="B123" t="inlineStr">
        <is>
          <t>Blus- en verbandmiddelen</t>
        </is>
      </c>
    </row>
    <row r="124">
      <c r="A124" t="n">
        <v>573</v>
      </c>
      <c r="B124" t="inlineStr">
        <is>
          <t>Aanschaf keukenapparatuur</t>
        </is>
      </c>
    </row>
    <row r="125">
      <c r="A125" t="n">
        <v>574</v>
      </c>
      <c r="B125" t="inlineStr">
        <is>
          <t>Kleine aanschaffingen</t>
        </is>
      </c>
    </row>
    <row r="126">
      <c r="A126" t="n">
        <v>579</v>
      </c>
      <c r="B126" t="inlineStr">
        <is>
          <t>Overige kosten inventaris</t>
        </is>
      </c>
    </row>
    <row r="127">
      <c r="A127" t="n">
        <v>580</v>
      </c>
      <c r="B127" t="inlineStr">
        <is>
          <t>Uitbesteed werk</t>
        </is>
      </c>
    </row>
    <row r="128">
      <c r="A128" t="n">
        <v>589</v>
      </c>
      <c r="B128" t="inlineStr">
        <is>
          <t>Overige kosten tuin</t>
        </is>
      </c>
    </row>
    <row r="129">
      <c r="A129" t="n">
        <v>600</v>
      </c>
      <c r="B129" t="inlineStr">
        <is>
          <t>Kosten parkeervoorziening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2026-03-06T14:34:52Z</dcterms:created>
  <dcterms:modified xmlns:dcterms="http://purl.org/dc/terms/" xmlns:xsi="http://www.w3.org/2001/XMLSchema-instance" xsi:type="dcterms:W3CDTF">2026-03-06T14:34:55Z</dcterms:modified>
</cp:coreProperties>
</file>