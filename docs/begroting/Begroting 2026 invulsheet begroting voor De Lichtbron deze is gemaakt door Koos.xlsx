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anaddink/Documents/Documents/Kerk lichtbron/Begroting 2026/"/>
    </mc:Choice>
  </mc:AlternateContent>
  <xr:revisionPtr revIDLastSave="0" documentId="13_ncr:1_{1C761DF7-174E-1B45-A06A-6DBBFE344BAB}" xr6:coauthVersionLast="47" xr6:coauthVersionMax="47" xr10:uidLastSave="{00000000-0000-0000-0000-000000000000}"/>
  <bookViews>
    <workbookView xWindow="5600" yWindow="3000" windowWidth="51200" windowHeight="25800" xr2:uid="{C225759E-16D0-4BDF-8DFB-D14305151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25" i="1"/>
  <c r="D9" i="1"/>
  <c r="D14" i="1" s="1"/>
  <c r="F44" i="1"/>
  <c r="E44" i="1"/>
  <c r="D44" i="1"/>
  <c r="E38" i="1"/>
  <c r="D38" i="1"/>
  <c r="F34" i="1"/>
  <c r="E34" i="1"/>
  <c r="D34" i="1"/>
  <c r="E25" i="1"/>
  <c r="E36" i="1" s="1"/>
  <c r="D25" i="1"/>
  <c r="F18" i="1"/>
  <c r="E18" i="1"/>
  <c r="D18" i="1"/>
  <c r="F14" i="1"/>
  <c r="E14" i="1"/>
  <c r="F8" i="1"/>
  <c r="E8" i="1"/>
  <c r="D8" i="1"/>
  <c r="F16" i="1" l="1"/>
  <c r="D16" i="1"/>
  <c r="E16" i="1"/>
  <c r="D36" i="1"/>
  <c r="F36" i="1"/>
</calcChain>
</file>

<file path=xl/sharedStrings.xml><?xml version="1.0" encoding="utf-8"?>
<sst xmlns="http://schemas.openxmlformats.org/spreadsheetml/2006/main" count="70" uniqueCount="67">
  <si>
    <t>Overige</t>
  </si>
  <si>
    <t>EXPLOITATIE</t>
  </si>
  <si>
    <t>80.21</t>
  </si>
  <si>
    <t>VERHUUR</t>
  </si>
  <si>
    <t>80.91</t>
  </si>
  <si>
    <t>BUFFETEXPLOITATIE</t>
  </si>
  <si>
    <t>81.11</t>
  </si>
  <si>
    <t>BANKRENTE</t>
  </si>
  <si>
    <t>80.96</t>
  </si>
  <si>
    <t>OVERIGE BATEN</t>
  </si>
  <si>
    <t>EXPLOITATIE BATEN</t>
  </si>
  <si>
    <t>40.20</t>
  </si>
  <si>
    <t>SCHOONMAAKKOSTEN</t>
  </si>
  <si>
    <t>41.93</t>
  </si>
  <si>
    <t>MUZIEKINSTRUMENTEN</t>
  </si>
  <si>
    <t>41.95</t>
  </si>
  <si>
    <t>KOSTEN BUFFETEXPLOITATIE</t>
  </si>
  <si>
    <t>46.20</t>
  </si>
  <si>
    <t>HULPKOSTERS</t>
  </si>
  <si>
    <t>41.91</t>
  </si>
  <si>
    <t>OVERIGE KOSTEN</t>
  </si>
  <si>
    <t>EXPLOITATIE LASTEN</t>
  </si>
  <si>
    <t>RESULTAAT EXPLOITATIE GEBOUWEN</t>
  </si>
  <si>
    <t>WIJKKAS</t>
  </si>
  <si>
    <t>83.33</t>
  </si>
  <si>
    <t>GIFTEN</t>
  </si>
  <si>
    <t>83.23</t>
  </si>
  <si>
    <t>COLLECTEN WIJKWERK</t>
  </si>
  <si>
    <t>83.71</t>
  </si>
  <si>
    <t>OPBRENGST ACTIVITEITEN</t>
  </si>
  <si>
    <t>83.73</t>
  </si>
  <si>
    <t>OPBRENGST PIONIERSPLEKKEN</t>
  </si>
  <si>
    <t>81.12</t>
  </si>
  <si>
    <t>83.72</t>
  </si>
  <si>
    <t>OVERIGE OPBRENGSTEN</t>
  </si>
  <si>
    <t>WIJKKAS INKOMSTEN</t>
  </si>
  <si>
    <t>44.92</t>
  </si>
  <si>
    <t>ALGEMENE KOSTEN</t>
  </si>
  <si>
    <t>44.12</t>
  </si>
  <si>
    <t>EREDIENST</t>
  </si>
  <si>
    <t>44.52</t>
  </si>
  <si>
    <t>GEMEENTE ACTIVITEITEN</t>
  </si>
  <si>
    <t>44.51</t>
  </si>
  <si>
    <t>OUDERENWERK</t>
  </si>
  <si>
    <t>44.61</t>
  </si>
  <si>
    <t>JONGERENWERK</t>
  </si>
  <si>
    <t>44.91</t>
  </si>
  <si>
    <t>MISSIONAIRE ACTIVITEITEN</t>
  </si>
  <si>
    <t>44.71</t>
  </si>
  <si>
    <t>KOSTEN PIONIERSPLEKKEN</t>
  </si>
  <si>
    <t>44.93</t>
  </si>
  <si>
    <t>WIJKKAS UITGAVEN</t>
  </si>
  <si>
    <t>RESULTAAT WIJKKAS</t>
  </si>
  <si>
    <t>KLEIN ONDERHOUD</t>
  </si>
  <si>
    <t>40.06</t>
  </si>
  <si>
    <t>KLEIN ONDERHOUD INSTALLATIES</t>
  </si>
  <si>
    <t>40.07</t>
  </si>
  <si>
    <t>KLEIN ONDERHOUD INTERIEUR</t>
  </si>
  <si>
    <t>40.08</t>
  </si>
  <si>
    <t>KLEIN ONDERHOUD INVENTARIS</t>
  </si>
  <si>
    <t>40.09</t>
  </si>
  <si>
    <t>KLEIN ONDERHOUD ORGELS</t>
  </si>
  <si>
    <t>40.10</t>
  </si>
  <si>
    <t>KLEIN ONDERHOUD TUIN/OVERIGE</t>
  </si>
  <si>
    <t>2025 [B]</t>
  </si>
  <si>
    <t>2026 [B]</t>
  </si>
  <si>
    <t>Gebruik Morgenster als aanlandplek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</si>
</sst>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(* #,##0_);[Red]_(* \-#,##0_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rgb="FF0000CC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0" fillId="0" borderId="0" xfId="0" applyNumberFormat="1"/>
    <xf numFmtId="0" fontId="4" fillId="3" borderId="0" xfId="0" applyFont="1" applyFill="1"/>
    <xf numFmtId="0" fontId="5" fillId="0" borderId="0" xfId="0" applyFont="1"/>
    <xf numFmtId="0" fontId="6" fillId="4" borderId="1" xfId="0" applyFont="1" applyFill="1" applyBorder="1" applyAlignment="1">
      <alignment horizontal="right" indent="1"/>
    </xf>
    <xf numFmtId="0" fontId="6" fillId="4" borderId="1" xfId="0" applyFont="1" applyFill="1" applyBorder="1" applyAlignment="1">
      <alignment horizontal="right"/>
    </xf>
    <xf numFmtId="49" fontId="7" fillId="5" borderId="0" xfId="0" quotePrefix="1" applyNumberFormat="1" applyFont="1" applyFill="1"/>
    <xf numFmtId="165" fontId="8" fillId="0" borderId="0" xfId="1" applyNumberFormat="1" applyFont="1" applyBorder="1"/>
    <xf numFmtId="165" fontId="8" fillId="6" borderId="0" xfId="1" applyNumberFormat="1" applyFont="1" applyFill="1" applyBorder="1"/>
    <xf numFmtId="0" fontId="0" fillId="7" borderId="3" xfId="0" applyFill="1" applyBorder="1"/>
    <xf numFmtId="165" fontId="7" fillId="7" borderId="3" xfId="1" applyNumberFormat="1" applyFont="1" applyFill="1" applyBorder="1"/>
    <xf numFmtId="0" fontId="6" fillId="8" borderId="1" xfId="0" applyFont="1" applyFill="1" applyBorder="1"/>
    <xf numFmtId="0" fontId="9" fillId="0" borderId="0" xfId="0" applyFont="1"/>
    <xf numFmtId="165" fontId="10" fillId="8" borderId="1" xfId="1" applyNumberFormat="1" applyFont="1" applyFill="1" applyBorder="1"/>
    <xf numFmtId="49" fontId="9" fillId="0" borderId="0" xfId="0" applyNumberFormat="1" applyFont="1"/>
    <xf numFmtId="0" fontId="0" fillId="0" borderId="0" xfId="0" quotePrefix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1FAF-6529-46E6-89DD-1D7244582441}">
  <dimension ref="A1:H44"/>
  <sheetViews>
    <sheetView tabSelected="1" topLeftCell="A7" workbookViewId="0">
      <selection activeCell="U18" sqref="U18"/>
    </sheetView>
  </sheetViews>
  <sheetFormatPr baseColWidth="10" defaultColWidth="8.83203125" defaultRowHeight="15" x14ac:dyDescent="0.2"/>
  <cols>
    <col min="2" max="2" width="38.33203125" bestFit="1" customWidth="1"/>
  </cols>
  <sheetData>
    <row r="1" spans="1:8" ht="19" x14ac:dyDescent="0.25">
      <c r="A1" s="1"/>
      <c r="B1" s="2"/>
      <c r="C1" s="2"/>
      <c r="D1" s="18"/>
      <c r="E1" s="18"/>
      <c r="F1" s="19"/>
    </row>
    <row r="2" spans="1:8" x14ac:dyDescent="0.2">
      <c r="A2" s="3"/>
    </row>
    <row r="3" spans="1:8" ht="16" x14ac:dyDescent="0.2">
      <c r="A3" s="3" t="s">
        <v>0</v>
      </c>
      <c r="B3" s="4" t="s">
        <v>1</v>
      </c>
      <c r="C3" s="5"/>
      <c r="D3" s="6">
        <v>2024</v>
      </c>
      <c r="E3" s="7" t="s">
        <v>64</v>
      </c>
      <c r="F3" s="7" t="s">
        <v>65</v>
      </c>
    </row>
    <row r="4" spans="1:8" x14ac:dyDescent="0.2">
      <c r="A4" s="8" t="s">
        <v>2</v>
      </c>
      <c r="B4" t="s">
        <v>3</v>
      </c>
      <c r="D4" s="9">
        <v>56232</v>
      </c>
      <c r="E4" s="9">
        <v>40000</v>
      </c>
      <c r="F4" s="10">
        <v>40000</v>
      </c>
    </row>
    <row r="5" spans="1:8" x14ac:dyDescent="0.2">
      <c r="A5" s="8" t="s">
        <v>4</v>
      </c>
      <c r="B5" t="s">
        <v>5</v>
      </c>
      <c r="D5" s="9">
        <v>42794</v>
      </c>
      <c r="E5" s="9">
        <v>30000</v>
      </c>
      <c r="F5" s="10">
        <v>30000</v>
      </c>
    </row>
    <row r="6" spans="1:8" x14ac:dyDescent="0.2">
      <c r="A6" s="8" t="s">
        <v>6</v>
      </c>
      <c r="B6" t="s">
        <v>7</v>
      </c>
      <c r="D6" s="9">
        <v>0</v>
      </c>
      <c r="E6" s="9">
        <v>0</v>
      </c>
      <c r="F6" s="10">
        <v>0</v>
      </c>
    </row>
    <row r="7" spans="1:8" x14ac:dyDescent="0.2">
      <c r="A7" s="8" t="s">
        <v>8</v>
      </c>
      <c r="B7" t="s">
        <v>9</v>
      </c>
      <c r="D7" s="9"/>
      <c r="E7" s="9"/>
      <c r="F7" s="10"/>
    </row>
    <row r="8" spans="1:8" x14ac:dyDescent="0.2">
      <c r="A8" s="3"/>
      <c r="B8" s="11" t="s">
        <v>10</v>
      </c>
      <c r="D8" s="12">
        <f>SUM(D4:D7)</f>
        <v>99026</v>
      </c>
      <c r="E8" s="12">
        <f>SUM(E4:E7)</f>
        <v>70000</v>
      </c>
      <c r="F8" s="12">
        <f>SUM(F4:F7)</f>
        <v>70000</v>
      </c>
    </row>
    <row r="9" spans="1:8" x14ac:dyDescent="0.2">
      <c r="A9" s="8" t="s">
        <v>11</v>
      </c>
      <c r="B9" t="s">
        <v>12</v>
      </c>
      <c r="D9" s="9">
        <f>11291+2319</f>
        <v>13610</v>
      </c>
      <c r="E9" s="9">
        <v>15000</v>
      </c>
      <c r="F9" s="10">
        <v>15000</v>
      </c>
    </row>
    <row r="10" spans="1:8" x14ac:dyDescent="0.2">
      <c r="A10" s="8" t="s">
        <v>13</v>
      </c>
      <c r="B10" t="s">
        <v>14</v>
      </c>
      <c r="D10" s="9">
        <v>0</v>
      </c>
      <c r="E10" s="9"/>
      <c r="F10" s="10">
        <v>1000</v>
      </c>
    </row>
    <row r="11" spans="1:8" x14ac:dyDescent="0.2">
      <c r="A11" s="8" t="s">
        <v>15</v>
      </c>
      <c r="B11" t="s">
        <v>16</v>
      </c>
      <c r="D11" s="9">
        <v>18886</v>
      </c>
      <c r="E11" s="9">
        <v>9500</v>
      </c>
      <c r="F11" s="10">
        <v>10000</v>
      </c>
    </row>
    <row r="12" spans="1:8" x14ac:dyDescent="0.2">
      <c r="A12" s="8" t="s">
        <v>17</v>
      </c>
      <c r="B12" t="s">
        <v>18</v>
      </c>
      <c r="D12" s="9">
        <v>1112</v>
      </c>
      <c r="E12" s="9">
        <v>0</v>
      </c>
      <c r="F12" s="10">
        <v>1000</v>
      </c>
    </row>
    <row r="13" spans="1:8" x14ac:dyDescent="0.2">
      <c r="A13" s="8" t="s">
        <v>19</v>
      </c>
      <c r="B13" t="s">
        <v>20</v>
      </c>
      <c r="D13" s="9">
        <v>1029</v>
      </c>
      <c r="E13" s="9">
        <v>10000</v>
      </c>
      <c r="F13" s="10">
        <v>10000</v>
      </c>
      <c r="H13" t="s">
        <v>66</v>
      </c>
    </row>
    <row r="14" spans="1:8" x14ac:dyDescent="0.2">
      <c r="A14" s="3"/>
      <c r="B14" s="11" t="s">
        <v>21</v>
      </c>
      <c r="D14" s="12">
        <f>SUM(D9:D13)</f>
        <v>34637</v>
      </c>
      <c r="E14" s="12">
        <f>SUM(E9:E13)</f>
        <v>34500</v>
      </c>
      <c r="F14" s="12">
        <f>SUM(F9:F13)</f>
        <v>37000</v>
      </c>
    </row>
    <row r="15" spans="1:8" x14ac:dyDescent="0.2">
      <c r="A15" s="3"/>
    </row>
    <row r="16" spans="1:8" ht="16" x14ac:dyDescent="0.2">
      <c r="A16" s="3"/>
      <c r="B16" s="13" t="s">
        <v>22</v>
      </c>
      <c r="C16" s="14"/>
      <c r="D16" s="15">
        <f>D8-D14</f>
        <v>64389</v>
      </c>
      <c r="E16" s="15">
        <f>E8-E14</f>
        <v>35500</v>
      </c>
      <c r="F16" s="15">
        <f>F8-F14</f>
        <v>33000</v>
      </c>
    </row>
    <row r="17" spans="1:6" x14ac:dyDescent="0.2">
      <c r="A17" s="3"/>
    </row>
    <row r="18" spans="1:6" ht="16" x14ac:dyDescent="0.2">
      <c r="A18" s="16"/>
      <c r="B18" s="4" t="s">
        <v>23</v>
      </c>
      <c r="C18" s="5"/>
      <c r="D18" s="6">
        <f t="shared" ref="D18:F18" si="0">D$7</f>
        <v>0</v>
      </c>
      <c r="E18" s="6">
        <f t="shared" si="0"/>
        <v>0</v>
      </c>
      <c r="F18" s="6">
        <f t="shared" si="0"/>
        <v>0</v>
      </c>
    </row>
    <row r="19" spans="1:6" x14ac:dyDescent="0.2">
      <c r="A19" s="8" t="s">
        <v>24</v>
      </c>
      <c r="B19" t="s">
        <v>25</v>
      </c>
      <c r="D19" s="9">
        <v>26200</v>
      </c>
      <c r="E19" s="9">
        <v>27100</v>
      </c>
      <c r="F19" s="10">
        <v>25000</v>
      </c>
    </row>
    <row r="20" spans="1:6" x14ac:dyDescent="0.2">
      <c r="A20" s="8" t="s">
        <v>26</v>
      </c>
      <c r="B20" t="s">
        <v>27</v>
      </c>
      <c r="D20" s="9"/>
      <c r="E20" s="9"/>
      <c r="F20" s="10"/>
    </row>
    <row r="21" spans="1:6" x14ac:dyDescent="0.2">
      <c r="A21" s="8" t="s">
        <v>28</v>
      </c>
      <c r="B21" t="s">
        <v>29</v>
      </c>
      <c r="D21" s="9"/>
      <c r="E21" s="9"/>
      <c r="F21" s="10"/>
    </row>
    <row r="22" spans="1:6" x14ac:dyDescent="0.2">
      <c r="A22" s="8" t="s">
        <v>30</v>
      </c>
      <c r="B22" t="s">
        <v>31</v>
      </c>
      <c r="D22" s="9">
        <v>0</v>
      </c>
      <c r="E22" s="9">
        <v>0</v>
      </c>
      <c r="F22" s="10">
        <v>0</v>
      </c>
    </row>
    <row r="23" spans="1:6" x14ac:dyDescent="0.2">
      <c r="A23" s="8" t="s">
        <v>32</v>
      </c>
      <c r="B23" t="s">
        <v>7</v>
      </c>
      <c r="D23" s="9">
        <v>0</v>
      </c>
      <c r="E23" s="9">
        <v>0</v>
      </c>
      <c r="F23" s="10">
        <v>0</v>
      </c>
    </row>
    <row r="24" spans="1:6" x14ac:dyDescent="0.2">
      <c r="A24" s="8" t="s">
        <v>33</v>
      </c>
      <c r="B24" t="s">
        <v>34</v>
      </c>
      <c r="D24" s="9"/>
      <c r="E24" s="9"/>
      <c r="F24" s="10"/>
    </row>
    <row r="25" spans="1:6" x14ac:dyDescent="0.2">
      <c r="A25" s="3"/>
      <c r="B25" s="11" t="s">
        <v>35</v>
      </c>
      <c r="D25" s="12">
        <f>SUM(D19:D24)</f>
        <v>26200</v>
      </c>
      <c r="E25" s="12">
        <f>SUM(E19:E24)</f>
        <v>27100</v>
      </c>
      <c r="F25" s="12">
        <f>SUM(F19:F24)</f>
        <v>25000</v>
      </c>
    </row>
    <row r="26" spans="1:6" x14ac:dyDescent="0.2">
      <c r="A26" s="8" t="s">
        <v>36</v>
      </c>
      <c r="B26" t="s">
        <v>37</v>
      </c>
      <c r="D26" s="9">
        <v>25500</v>
      </c>
      <c r="E26" s="9">
        <v>5000</v>
      </c>
      <c r="F26" s="10">
        <v>10000</v>
      </c>
    </row>
    <row r="27" spans="1:6" x14ac:dyDescent="0.2">
      <c r="A27" s="8" t="s">
        <v>38</v>
      </c>
      <c r="B27" t="s">
        <v>39</v>
      </c>
      <c r="D27" s="9">
        <v>5700</v>
      </c>
      <c r="E27" s="9">
        <v>4000</v>
      </c>
      <c r="F27" s="10">
        <v>5000</v>
      </c>
    </row>
    <row r="28" spans="1:6" x14ac:dyDescent="0.2">
      <c r="A28" s="8" t="s">
        <v>40</v>
      </c>
      <c r="B28" t="s">
        <v>41</v>
      </c>
      <c r="D28" s="9">
        <v>2700</v>
      </c>
      <c r="E28" s="9">
        <v>1000</v>
      </c>
      <c r="F28" s="10">
        <v>3000</v>
      </c>
    </row>
    <row r="29" spans="1:6" x14ac:dyDescent="0.2">
      <c r="A29" s="8" t="s">
        <v>42</v>
      </c>
      <c r="B29" t="s">
        <v>43</v>
      </c>
      <c r="D29" s="9">
        <v>1400</v>
      </c>
      <c r="E29" s="9">
        <v>2500</v>
      </c>
      <c r="F29" s="10">
        <v>3000</v>
      </c>
    </row>
    <row r="30" spans="1:6" x14ac:dyDescent="0.2">
      <c r="A30" s="8" t="s">
        <v>44</v>
      </c>
      <c r="B30" t="s">
        <v>45</v>
      </c>
      <c r="D30" s="9">
        <v>400</v>
      </c>
      <c r="E30" s="9">
        <v>500</v>
      </c>
      <c r="F30" s="10">
        <v>6000</v>
      </c>
    </row>
    <row r="31" spans="1:6" x14ac:dyDescent="0.2">
      <c r="A31" s="8" t="s">
        <v>46</v>
      </c>
      <c r="B31" t="s">
        <v>47</v>
      </c>
      <c r="D31" s="9">
        <v>0</v>
      </c>
      <c r="E31" s="9">
        <v>0</v>
      </c>
      <c r="F31" s="10">
        <v>0</v>
      </c>
    </row>
    <row r="32" spans="1:6" x14ac:dyDescent="0.2">
      <c r="A32" s="8" t="s">
        <v>48</v>
      </c>
      <c r="B32" t="s">
        <v>49</v>
      </c>
      <c r="D32" s="9">
        <v>0</v>
      </c>
      <c r="E32" s="9">
        <v>0</v>
      </c>
      <c r="F32" s="10">
        <v>0</v>
      </c>
    </row>
    <row r="33" spans="1:6" x14ac:dyDescent="0.2">
      <c r="A33" s="8" t="s">
        <v>50</v>
      </c>
      <c r="B33" t="s">
        <v>20</v>
      </c>
      <c r="D33" s="9">
        <v>2220</v>
      </c>
      <c r="E33" s="9">
        <v>2000</v>
      </c>
      <c r="F33" s="10">
        <v>2000</v>
      </c>
    </row>
    <row r="34" spans="1:6" x14ac:dyDescent="0.2">
      <c r="A34" s="3"/>
      <c r="B34" s="11" t="s">
        <v>51</v>
      </c>
      <c r="D34" s="12">
        <f>SUM(D26:D33)</f>
        <v>37920</v>
      </c>
      <c r="E34" s="12">
        <f>SUM(E26:E33)</f>
        <v>15000</v>
      </c>
      <c r="F34" s="12">
        <f>SUM(F26:F33)</f>
        <v>29000</v>
      </c>
    </row>
    <row r="35" spans="1:6" x14ac:dyDescent="0.2">
      <c r="A35" s="3"/>
    </row>
    <row r="36" spans="1:6" ht="16" x14ac:dyDescent="0.2">
      <c r="A36" s="3"/>
      <c r="B36" s="13" t="s">
        <v>52</v>
      </c>
      <c r="C36" s="14"/>
      <c r="D36" s="15">
        <f>D25-D34</f>
        <v>-11720</v>
      </c>
      <c r="E36" s="15">
        <f>E25-E34</f>
        <v>12100</v>
      </c>
      <c r="F36" s="15">
        <f>F25-F34</f>
        <v>-4000</v>
      </c>
    </row>
    <row r="37" spans="1:6" x14ac:dyDescent="0.2">
      <c r="A37" s="3"/>
    </row>
    <row r="38" spans="1:6" ht="16" x14ac:dyDescent="0.2">
      <c r="A38" s="16"/>
      <c r="B38" s="4" t="s">
        <v>53</v>
      </c>
      <c r="C38" s="5"/>
      <c r="D38" s="6">
        <f t="shared" ref="D38:F38" si="1">D$7</f>
        <v>0</v>
      </c>
      <c r="E38" s="6">
        <f t="shared" si="1"/>
        <v>0</v>
      </c>
      <c r="F38" s="6">
        <f t="shared" si="1"/>
        <v>0</v>
      </c>
    </row>
    <row r="39" spans="1:6" x14ac:dyDescent="0.2">
      <c r="A39" s="8" t="s">
        <v>54</v>
      </c>
      <c r="B39" t="s">
        <v>55</v>
      </c>
      <c r="C39" s="17"/>
      <c r="D39" s="9"/>
      <c r="E39" s="9">
        <v>0</v>
      </c>
      <c r="F39" s="10"/>
    </row>
    <row r="40" spans="1:6" x14ac:dyDescent="0.2">
      <c r="A40" s="8" t="s">
        <v>56</v>
      </c>
      <c r="B40" t="s">
        <v>57</v>
      </c>
      <c r="C40" s="17"/>
      <c r="D40" s="9"/>
      <c r="E40" s="9">
        <v>0</v>
      </c>
      <c r="F40" s="10"/>
    </row>
    <row r="41" spans="1:6" x14ac:dyDescent="0.2">
      <c r="A41" s="8" t="s">
        <v>58</v>
      </c>
      <c r="B41" t="s">
        <v>59</v>
      </c>
      <c r="C41" s="17"/>
      <c r="D41" s="9"/>
      <c r="E41" s="9">
        <v>0</v>
      </c>
      <c r="F41" s="10"/>
    </row>
    <row r="42" spans="1:6" x14ac:dyDescent="0.2">
      <c r="A42" s="8" t="s">
        <v>60</v>
      </c>
      <c r="B42" t="s">
        <v>61</v>
      </c>
      <c r="C42" s="17"/>
      <c r="D42" s="9">
        <v>0</v>
      </c>
      <c r="E42" s="9">
        <v>0</v>
      </c>
      <c r="F42" s="10">
        <v>0</v>
      </c>
    </row>
    <row r="43" spans="1:6" x14ac:dyDescent="0.2">
      <c r="A43" s="8" t="s">
        <v>62</v>
      </c>
      <c r="B43" t="s">
        <v>63</v>
      </c>
      <c r="C43" s="17"/>
      <c r="D43" s="9">
        <v>0</v>
      </c>
      <c r="E43" s="9"/>
      <c r="F43" s="10"/>
    </row>
    <row r="44" spans="1:6" ht="16" x14ac:dyDescent="0.2">
      <c r="A44" s="3"/>
      <c r="B44" s="13" t="s">
        <v>53</v>
      </c>
      <c r="C44" s="14"/>
      <c r="D44" s="15">
        <f>SUM(D39:D43)</f>
        <v>0</v>
      </c>
      <c r="E44" s="15">
        <f>SUM(E39:E43)</f>
        <v>0</v>
      </c>
      <c r="F44" s="15">
        <f>SUM(F39:F43)</f>
        <v>0</v>
      </c>
    </row>
  </sheetData>
  <mergeCells count="1">
    <mergeCell ref="D1:F1"/>
  </mergeCells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Vliet, Koos van</dc:creator>
  <cp:lastModifiedBy>Iteke Addink</cp:lastModifiedBy>
  <cp:lastPrinted>2025-09-19T07:41:17Z</cp:lastPrinted>
  <dcterms:created xsi:type="dcterms:W3CDTF">2025-09-17T09:54:52Z</dcterms:created>
  <dcterms:modified xsi:type="dcterms:W3CDTF">2026-01-14T14:29:57Z</dcterms:modified>
</cp:coreProperties>
</file>