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addink/Documents/Documents/Kerk lichtbron/boekhouding 2025/Wijkkas 2026/"/>
    </mc:Choice>
  </mc:AlternateContent>
  <xr:revisionPtr revIDLastSave="0" documentId="8_{F7D52A3E-ED43-CC47-90EE-BD624EE44E6E}" xr6:coauthVersionLast="47" xr6:coauthVersionMax="47" xr10:uidLastSave="{00000000-0000-0000-0000-000000000000}"/>
  <bookViews>
    <workbookView xWindow="7960" yWindow="2780" windowWidth="37320" windowHeight="17240" xr2:uid="{2D815455-6A80-3849-AE26-870B883FD819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D48" i="1"/>
  <c r="D54" i="1"/>
  <c r="D56" i="1"/>
  <c r="D61" i="1"/>
  <c r="D35" i="1"/>
  <c r="F63" i="1"/>
  <c r="F42" i="1"/>
  <c r="F61" i="1"/>
  <c r="F56" i="1"/>
  <c r="F54" i="1"/>
  <c r="F48" i="1"/>
  <c r="F35" i="1"/>
  <c r="D63" i="1" l="1"/>
  <c r="D16" i="1" l="1"/>
  <c r="F16" i="1"/>
</calcChain>
</file>

<file path=xl/sharedStrings.xml><?xml version="1.0" encoding="utf-8"?>
<sst xmlns="http://schemas.openxmlformats.org/spreadsheetml/2006/main" count="48" uniqueCount="45">
  <si>
    <t>Wijkkas De Lichtbron - kerkgebouw Bethlehemkerk Hilversum</t>
  </si>
  <si>
    <t>Lasten</t>
  </si>
  <si>
    <t xml:space="preserve">Kosten wijkkerkenraad </t>
  </si>
  <si>
    <t>Kosten scribaat en predikant</t>
  </si>
  <si>
    <t>Kosten drukwerk</t>
  </si>
  <si>
    <t>Abonnementen</t>
  </si>
  <si>
    <t>Kosten vrijwilligers</t>
  </si>
  <si>
    <t>Bankkosten</t>
  </si>
  <si>
    <t>Kosten Internet /telefoon en website</t>
  </si>
  <si>
    <t>Overige algemene kosten</t>
  </si>
  <si>
    <t>Algemene kosten</t>
  </si>
  <si>
    <t>Kosten eredienst</t>
  </si>
  <si>
    <t>Cantorij en koren</t>
  </si>
  <si>
    <t>Kosten kerktelefoon /televisie</t>
  </si>
  <si>
    <t>Kosten Doop , Belijdenis, spec.dienst</t>
  </si>
  <si>
    <t>Overige kosten eredienst</t>
  </si>
  <si>
    <t>Kosten gemeente avonden</t>
  </si>
  <si>
    <t>Kosten gemeente-weekend</t>
  </si>
  <si>
    <t>Kosten lichtjes tocht</t>
  </si>
  <si>
    <t>Overige kosten gemeente activiteiten</t>
  </si>
  <si>
    <t>Kosten gemeenteactiviteiten</t>
  </si>
  <si>
    <t>Contactmiddagen / soos</t>
  </si>
  <si>
    <t>Maaltijden ouderen</t>
  </si>
  <si>
    <t>Attenties bij verjaardagen e.d.</t>
  </si>
  <si>
    <t>Kerstattenties</t>
  </si>
  <si>
    <t>Overige kosten</t>
  </si>
  <si>
    <t>Kosten ouderenwerk</t>
  </si>
  <si>
    <t>Jongerendiensten</t>
  </si>
  <si>
    <t>Kosten jongerenwerk</t>
  </si>
  <si>
    <t>Overige activiteiten</t>
  </si>
  <si>
    <t>Overige diverse kosten</t>
  </si>
  <si>
    <t>Uitgaven kopieermachine</t>
  </si>
  <si>
    <t>Paaskaars</t>
  </si>
  <si>
    <t>Kerststal</t>
  </si>
  <si>
    <t>Kerktuin</t>
  </si>
  <si>
    <t xml:space="preserve">Baten </t>
  </si>
  <si>
    <t>Giften wijkkas</t>
  </si>
  <si>
    <t>Doorzendgiften</t>
  </si>
  <si>
    <t>Collecte voor de wijkkas</t>
  </si>
  <si>
    <t>Overige baten</t>
  </si>
  <si>
    <t>Opbrengsten Lichtjestocht</t>
  </si>
  <si>
    <t>Verkoop collectebonnen</t>
  </si>
  <si>
    <t>Totaal</t>
  </si>
  <si>
    <t>Lasten  2026</t>
  </si>
  <si>
    <t>Baten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</si>
</sst>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€&quot;\ * #,##0.00_);_(&quot;€&quot;\ * \(#,##0.00\);_(&quot;€&quot;\ * &quot;-&quot;??_);_(@_)"/>
    <numFmt numFmtId="43" formatCode="_(* #,##0.00_);_(* \(#,##0.00\);_(* &quot;-&quot;??_);_(@_)"/>
    <numFmt numFmtId="165" formatCode="_ [$€-413]\ * #,##0.00_ ;_ [$€-413]\ * \-#,##0.00_ ;_ [$€-413]\ * &quot;-&quot;??_ ;_ @_ 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70C0"/>
      <name val="Times New Roman"/>
      <family val="1"/>
    </font>
    <font>
      <sz val="16"/>
      <color rgb="FF0070C0"/>
      <name val="Times New Roman"/>
      <family val="1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70C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44" fontId="2" fillId="0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NumberFormat="1" applyFont="1" applyFill="1"/>
    <xf numFmtId="44" fontId="8" fillId="0" borderId="0" xfId="0" applyNumberFormat="1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44" fontId="8" fillId="3" borderId="0" xfId="0" applyNumberFormat="1" applyFont="1" applyFill="1"/>
    <xf numFmtId="44" fontId="8" fillId="0" borderId="0" xfId="0" applyNumberFormat="1" applyFont="1"/>
    <xf numFmtId="165" fontId="8" fillId="3" borderId="0" xfId="1" applyNumberFormat="1" applyFont="1" applyFill="1"/>
    <xf numFmtId="0" fontId="10" fillId="4" borderId="0" xfId="0" applyFont="1" applyFill="1"/>
    <xf numFmtId="44" fontId="8" fillId="0" borderId="1" xfId="0" applyNumberFormat="1" applyFont="1" applyFill="1" applyBorder="1"/>
    <xf numFmtId="0" fontId="0" fillId="0" borderId="0" xfId="0" applyFill="1"/>
    <xf numFmtId="0" fontId="8" fillId="0" borderId="0" xfId="0" applyFont="1"/>
    <xf numFmtId="0" fontId="8" fillId="0" borderId="0" xfId="0" applyFont="1" applyFill="1"/>
    <xf numFmtId="0" fontId="0" fillId="2" borderId="0" xfId="0" applyFill="1" applyAlignment="1">
      <alignment horizontal="center"/>
    </xf>
    <xf numFmtId="44" fontId="8" fillId="3" borderId="2" xfId="0" applyNumberFormat="1" applyFont="1" applyFill="1" applyBorder="1"/>
    <xf numFmtId="44" fontId="11" fillId="3" borderId="0" xfId="0" applyNumberFormat="1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DF24-9563-6A43-9B66-F9BE4B01F665}">
  <dimension ref="A3:H130"/>
  <sheetViews>
    <sheetView tabSelected="1" topLeftCell="A2" workbookViewId="0">
      <pane ySplit="1" topLeftCell="A5" activePane="bottomLeft" state="frozen"/>
      <selection activeCell="A2" sqref="A2"/>
      <selection pane="bottomLeft" activeCell="U12" sqref="U12"/>
    </sheetView>
  </sheetViews>
  <sheetFormatPr baseColWidth="10" defaultRowHeight="16" x14ac:dyDescent="0.2"/>
  <cols>
    <col min="1" max="1" width="11" bestFit="1" customWidth="1"/>
    <col min="3" max="3" width="32.83203125" customWidth="1"/>
    <col min="4" max="4" width="18" bestFit="1" customWidth="1"/>
    <col min="6" max="6" width="19.6640625" bestFit="1" customWidth="1"/>
  </cols>
  <sheetData>
    <row r="3" spans="1:8" ht="20" x14ac:dyDescent="0.2">
      <c r="A3" s="5" t="s">
        <v>44</v>
      </c>
      <c r="B3" s="5"/>
      <c r="C3" s="5"/>
      <c r="D3" s="5" t="s">
        <v>0</v>
      </c>
      <c r="E3" s="5"/>
      <c r="F3" s="5"/>
      <c r="G3" s="5"/>
      <c r="H3" s="5"/>
    </row>
    <row r="5" spans="1:8" ht="26" x14ac:dyDescent="0.3">
      <c r="A5" s="7"/>
      <c r="B5" s="7"/>
      <c r="C5" s="7"/>
      <c r="D5" s="7"/>
      <c r="E5" s="7"/>
      <c r="F5" s="7"/>
    </row>
    <row r="6" spans="1:8" ht="24" x14ac:dyDescent="0.3">
      <c r="A6" s="8" t="s">
        <v>35</v>
      </c>
      <c r="B6" s="8"/>
      <c r="C6" s="8"/>
      <c r="D6" s="9">
        <v>2026</v>
      </c>
      <c r="E6" s="10"/>
      <c r="F6" s="9">
        <v>2025</v>
      </c>
    </row>
    <row r="7" spans="1:8" ht="24" x14ac:dyDescent="0.3">
      <c r="A7" s="8"/>
      <c r="B7" s="8"/>
      <c r="C7" s="8"/>
      <c r="D7" s="10"/>
      <c r="E7" s="10"/>
      <c r="F7" s="10"/>
    </row>
    <row r="8" spans="1:8" ht="24" x14ac:dyDescent="0.3">
      <c r="A8" s="11">
        <v>210</v>
      </c>
      <c r="B8" s="12" t="s">
        <v>36</v>
      </c>
      <c r="C8" s="8"/>
      <c r="D8" s="13">
        <v>10500</v>
      </c>
      <c r="E8" s="14"/>
      <c r="F8" s="15">
        <v>11155.7</v>
      </c>
    </row>
    <row r="9" spans="1:8" ht="24" x14ac:dyDescent="0.3">
      <c r="A9" s="11">
        <v>215</v>
      </c>
      <c r="B9" s="12" t="s">
        <v>37</v>
      </c>
      <c r="C9" s="8"/>
      <c r="D9" s="13">
        <v>100</v>
      </c>
      <c r="E9" s="14"/>
      <c r="F9" s="15">
        <v>145</v>
      </c>
    </row>
    <row r="10" spans="1:8" ht="24" x14ac:dyDescent="0.3">
      <c r="A10" s="11">
        <v>220</v>
      </c>
      <c r="B10" s="12" t="s">
        <v>38</v>
      </c>
      <c r="C10" s="8"/>
      <c r="D10" s="13">
        <v>15000</v>
      </c>
      <c r="E10" s="14"/>
      <c r="F10" s="15">
        <v>16168.7</v>
      </c>
    </row>
    <row r="11" spans="1:8" ht="24" x14ac:dyDescent="0.3">
      <c r="A11" s="11">
        <v>290</v>
      </c>
      <c r="B11" s="12" t="s">
        <v>39</v>
      </c>
      <c r="C11" s="8"/>
      <c r="D11" s="13">
        <v>16000</v>
      </c>
      <c r="E11" s="14"/>
      <c r="F11" s="15">
        <v>17666.849999999999</v>
      </c>
    </row>
    <row r="12" spans="1:8" ht="24" x14ac:dyDescent="0.3">
      <c r="A12" s="11">
        <v>293</v>
      </c>
      <c r="B12" s="12" t="s">
        <v>40</v>
      </c>
      <c r="C12" s="8"/>
      <c r="D12" s="13">
        <v>100</v>
      </c>
      <c r="E12" s="14"/>
      <c r="F12" s="13">
        <v>0</v>
      </c>
    </row>
    <row r="13" spans="1:8" ht="24" x14ac:dyDescent="0.3">
      <c r="A13" s="11">
        <v>170</v>
      </c>
      <c r="B13" s="16" t="s">
        <v>41</v>
      </c>
      <c r="C13" s="8"/>
      <c r="D13" s="13">
        <v>9000</v>
      </c>
      <c r="E13" s="14"/>
      <c r="F13" s="13">
        <v>10354</v>
      </c>
    </row>
    <row r="14" spans="1:8" ht="24" x14ac:dyDescent="0.3">
      <c r="A14" s="8"/>
      <c r="B14" s="8"/>
      <c r="C14" s="8"/>
      <c r="D14" s="13"/>
      <c r="E14" s="14"/>
      <c r="F14" s="13"/>
    </row>
    <row r="15" spans="1:8" ht="25" thickBot="1" x14ac:dyDescent="0.35">
      <c r="A15" s="8"/>
      <c r="B15" s="8"/>
      <c r="C15" s="8"/>
      <c r="D15" s="17"/>
      <c r="E15" s="10"/>
      <c r="F15" s="17"/>
    </row>
    <row r="16" spans="1:8" ht="24" x14ac:dyDescent="0.3">
      <c r="A16" s="8"/>
      <c r="B16" s="8"/>
      <c r="C16" s="8"/>
      <c r="D16" s="10">
        <f>SUM(D6:D14)</f>
        <v>52726</v>
      </c>
      <c r="E16" s="10"/>
      <c r="F16" s="10">
        <f>SUM(F6:F14)</f>
        <v>57515.25</v>
      </c>
    </row>
    <row r="17" spans="1:7" x14ac:dyDescent="0.2">
      <c r="D17" s="6"/>
      <c r="E17" s="6"/>
      <c r="F17" s="6"/>
    </row>
    <row r="18" spans="1:7" x14ac:dyDescent="0.2">
      <c r="D18" s="6"/>
      <c r="E18" s="6"/>
      <c r="F18" s="6"/>
    </row>
    <row r="19" spans="1:7" x14ac:dyDescent="0.2">
      <c r="D19" s="6"/>
      <c r="E19" s="6"/>
      <c r="F19" s="6"/>
    </row>
    <row r="20" spans="1:7" x14ac:dyDescent="0.2">
      <c r="D20" s="6"/>
      <c r="E20" s="6"/>
      <c r="F20" s="6"/>
    </row>
    <row r="21" spans="1:7" ht="20" x14ac:dyDescent="0.2">
      <c r="A21" s="5" t="s">
        <v>43</v>
      </c>
      <c r="B21" s="5"/>
      <c r="C21" s="5"/>
      <c r="D21" s="5" t="s">
        <v>0</v>
      </c>
      <c r="E21" s="5"/>
      <c r="F21" s="5"/>
      <c r="G21" s="5"/>
    </row>
    <row r="25" spans="1:7" ht="23" x14ac:dyDescent="0.25">
      <c r="A25" s="19" t="s">
        <v>1</v>
      </c>
      <c r="B25" s="19"/>
      <c r="C25" s="19"/>
      <c r="D25" s="20">
        <v>2026</v>
      </c>
      <c r="E25" s="20"/>
      <c r="F25" s="20">
        <v>2025</v>
      </c>
      <c r="G25" s="19"/>
    </row>
    <row r="26" spans="1:7" ht="23" x14ac:dyDescent="0.25">
      <c r="A26" s="19"/>
      <c r="B26" s="19"/>
      <c r="C26" s="19"/>
      <c r="D26" s="20"/>
      <c r="E26" s="20"/>
      <c r="F26" s="20"/>
      <c r="G26" s="19"/>
    </row>
    <row r="27" spans="1:7" ht="23" x14ac:dyDescent="0.25">
      <c r="A27" s="2">
        <v>300</v>
      </c>
      <c r="B27" s="3" t="s">
        <v>2</v>
      </c>
      <c r="C27" s="19"/>
      <c r="D27" s="13">
        <v>800</v>
      </c>
      <c r="E27" s="19"/>
      <c r="F27" s="13">
        <v>752.35</v>
      </c>
      <c r="G27" s="19"/>
    </row>
    <row r="28" spans="1:7" ht="23" x14ac:dyDescent="0.25">
      <c r="A28" s="2">
        <v>301</v>
      </c>
      <c r="B28" s="3" t="s">
        <v>3</v>
      </c>
      <c r="C28" s="19"/>
      <c r="D28" s="13">
        <v>250</v>
      </c>
      <c r="E28" s="19"/>
      <c r="F28" s="13">
        <v>168.29</v>
      </c>
      <c r="G28" s="19"/>
    </row>
    <row r="29" spans="1:7" ht="23" x14ac:dyDescent="0.25">
      <c r="A29" s="2">
        <v>302</v>
      </c>
      <c r="B29" s="3" t="s">
        <v>4</v>
      </c>
      <c r="C29" s="19"/>
      <c r="D29" s="13">
        <v>8000</v>
      </c>
      <c r="E29" s="19"/>
      <c r="F29" s="13">
        <v>6712.78</v>
      </c>
      <c r="G29" s="19"/>
    </row>
    <row r="30" spans="1:7" ht="23" x14ac:dyDescent="0.25">
      <c r="A30" s="2">
        <v>303</v>
      </c>
      <c r="B30" s="3" t="s">
        <v>5</v>
      </c>
      <c r="C30" s="19"/>
      <c r="D30" s="13">
        <v>900</v>
      </c>
      <c r="E30" s="19"/>
      <c r="F30" s="13">
        <v>799</v>
      </c>
      <c r="G30" s="19"/>
    </row>
    <row r="31" spans="1:7" ht="23" x14ac:dyDescent="0.25">
      <c r="A31" s="2">
        <v>304</v>
      </c>
      <c r="B31" s="3" t="s">
        <v>6</v>
      </c>
      <c r="C31" s="19"/>
      <c r="D31" s="13">
        <v>500</v>
      </c>
      <c r="E31" s="19"/>
      <c r="F31" s="13">
        <v>-364.59</v>
      </c>
      <c r="G31" s="19"/>
    </row>
    <row r="32" spans="1:7" ht="23" x14ac:dyDescent="0.25">
      <c r="A32" s="2">
        <v>305</v>
      </c>
      <c r="B32" s="3" t="s">
        <v>7</v>
      </c>
      <c r="C32" s="19"/>
      <c r="D32" s="13">
        <v>75</v>
      </c>
      <c r="E32" s="19"/>
      <c r="F32" s="13">
        <v>61</v>
      </c>
      <c r="G32" s="19"/>
    </row>
    <row r="33" spans="1:7" ht="23" x14ac:dyDescent="0.25">
      <c r="A33" s="2">
        <v>307</v>
      </c>
      <c r="B33" s="3" t="s">
        <v>8</v>
      </c>
      <c r="C33" s="19"/>
      <c r="D33" s="13">
        <v>5000</v>
      </c>
      <c r="E33" s="19"/>
      <c r="F33" s="13">
        <v>4263.2700000000004</v>
      </c>
      <c r="G33" s="19"/>
    </row>
    <row r="34" spans="1:7" ht="23" x14ac:dyDescent="0.25">
      <c r="A34" s="2">
        <v>309</v>
      </c>
      <c r="B34" s="3" t="s">
        <v>9</v>
      </c>
      <c r="C34" s="19"/>
      <c r="D34" s="22">
        <v>750</v>
      </c>
      <c r="E34" s="19"/>
      <c r="F34" s="22">
        <v>605</v>
      </c>
      <c r="G34" s="19"/>
    </row>
    <row r="35" spans="1:7" ht="23" x14ac:dyDescent="0.25">
      <c r="A35" s="2"/>
      <c r="B35" s="4" t="s">
        <v>10</v>
      </c>
      <c r="C35" s="19"/>
      <c r="D35" s="23">
        <f>SUM(D27:D34)</f>
        <v>16275</v>
      </c>
      <c r="E35" s="19"/>
      <c r="F35" s="23">
        <f>SUM(F27:F34)</f>
        <v>12997.1</v>
      </c>
      <c r="G35" s="19"/>
    </row>
    <row r="36" spans="1:7" ht="23" x14ac:dyDescent="0.25">
      <c r="A36" s="2">
        <v>370</v>
      </c>
      <c r="B36" s="3" t="s">
        <v>32</v>
      </c>
      <c r="C36" s="19"/>
      <c r="D36" s="13">
        <v>700</v>
      </c>
      <c r="E36" s="19"/>
      <c r="F36" s="13">
        <v>584.19000000000005</v>
      </c>
      <c r="G36" s="19"/>
    </row>
    <row r="37" spans="1:7" ht="23" x14ac:dyDescent="0.25">
      <c r="A37" s="2">
        <v>311</v>
      </c>
      <c r="B37" s="3" t="s">
        <v>11</v>
      </c>
      <c r="C37" s="19"/>
      <c r="D37" s="13">
        <v>700</v>
      </c>
      <c r="E37" s="19"/>
      <c r="F37" s="13">
        <v>607.76</v>
      </c>
      <c r="G37" s="19"/>
    </row>
    <row r="38" spans="1:7" ht="23" x14ac:dyDescent="0.25">
      <c r="A38" s="2">
        <v>312</v>
      </c>
      <c r="B38" s="3" t="s">
        <v>12</v>
      </c>
      <c r="C38" s="19"/>
      <c r="D38" s="13">
        <v>150</v>
      </c>
      <c r="E38" s="19"/>
      <c r="F38" s="13">
        <v>95.85</v>
      </c>
      <c r="G38" s="19"/>
    </row>
    <row r="39" spans="1:7" ht="23" x14ac:dyDescent="0.25">
      <c r="A39" s="2">
        <v>314</v>
      </c>
      <c r="B39" s="3" t="s">
        <v>13</v>
      </c>
      <c r="C39" s="19"/>
      <c r="D39" s="13">
        <v>900</v>
      </c>
      <c r="E39" s="19"/>
      <c r="F39" s="13">
        <v>876.53</v>
      </c>
      <c r="G39" s="19"/>
    </row>
    <row r="40" spans="1:7" ht="23" x14ac:dyDescent="0.25">
      <c r="A40" s="2">
        <v>316</v>
      </c>
      <c r="B40" s="3" t="s">
        <v>14</v>
      </c>
      <c r="C40" s="19"/>
      <c r="D40" s="13">
        <v>250</v>
      </c>
      <c r="E40" s="19"/>
      <c r="F40" s="13">
        <v>0</v>
      </c>
      <c r="G40" s="19"/>
    </row>
    <row r="41" spans="1:7" ht="23" x14ac:dyDescent="0.25">
      <c r="A41" s="2">
        <v>319</v>
      </c>
      <c r="B41" s="3" t="s">
        <v>15</v>
      </c>
      <c r="C41" s="19"/>
      <c r="D41" s="22">
        <v>1000</v>
      </c>
      <c r="E41" s="19"/>
      <c r="F41" s="22">
        <v>779.34</v>
      </c>
      <c r="G41" s="19"/>
    </row>
    <row r="42" spans="1:7" ht="23" x14ac:dyDescent="0.25">
      <c r="A42" s="2"/>
      <c r="B42" s="4" t="s">
        <v>11</v>
      </c>
      <c r="C42" s="19"/>
      <c r="D42" s="23">
        <f>SUM(D36:D41)</f>
        <v>3700</v>
      </c>
      <c r="E42" s="19"/>
      <c r="F42" s="23">
        <f>SUM(F36:F41)</f>
        <v>2943.67</v>
      </c>
      <c r="G42" s="19"/>
    </row>
    <row r="43" spans="1:7" ht="23" x14ac:dyDescent="0.25">
      <c r="A43" s="2">
        <v>321</v>
      </c>
      <c r="B43" s="3" t="s">
        <v>16</v>
      </c>
      <c r="C43" s="19"/>
      <c r="D43" s="13">
        <v>300</v>
      </c>
      <c r="E43" s="19"/>
      <c r="F43" s="13">
        <v>0</v>
      </c>
      <c r="G43" s="19"/>
    </row>
    <row r="44" spans="1:7" ht="23" x14ac:dyDescent="0.25">
      <c r="A44" s="2">
        <v>322</v>
      </c>
      <c r="B44" s="3" t="s">
        <v>17</v>
      </c>
      <c r="C44" s="19"/>
      <c r="D44" s="13">
        <v>250</v>
      </c>
      <c r="E44" s="19"/>
      <c r="F44" s="13">
        <v>0</v>
      </c>
      <c r="G44" s="19"/>
    </row>
    <row r="45" spans="1:7" ht="23" x14ac:dyDescent="0.25">
      <c r="A45" s="2">
        <v>407</v>
      </c>
      <c r="B45" s="3" t="s">
        <v>33</v>
      </c>
      <c r="C45" s="19"/>
      <c r="D45" s="13">
        <v>150</v>
      </c>
      <c r="E45" s="19"/>
      <c r="F45" s="13">
        <v>0</v>
      </c>
      <c r="G45" s="19"/>
    </row>
    <row r="46" spans="1:7" ht="23" x14ac:dyDescent="0.25">
      <c r="A46" s="2">
        <v>323</v>
      </c>
      <c r="B46" s="3" t="s">
        <v>18</v>
      </c>
      <c r="C46" s="19"/>
      <c r="D46" s="13">
        <v>500</v>
      </c>
      <c r="E46" s="19"/>
      <c r="F46" s="13">
        <v>423.94</v>
      </c>
      <c r="G46" s="19"/>
    </row>
    <row r="47" spans="1:7" ht="23" x14ac:dyDescent="0.25">
      <c r="A47" s="2">
        <v>329</v>
      </c>
      <c r="B47" s="3" t="s">
        <v>19</v>
      </c>
      <c r="C47" s="19"/>
      <c r="D47" s="22">
        <v>500</v>
      </c>
      <c r="E47" s="19"/>
      <c r="F47" s="22">
        <v>0</v>
      </c>
      <c r="G47" s="19"/>
    </row>
    <row r="48" spans="1:7" ht="23" x14ac:dyDescent="0.25">
      <c r="A48" s="2"/>
      <c r="B48" s="4" t="s">
        <v>20</v>
      </c>
      <c r="C48" s="19"/>
      <c r="D48" s="23">
        <f>SUM(D43:D47)</f>
        <v>1700</v>
      </c>
      <c r="E48" s="19"/>
      <c r="F48" s="23">
        <f>SUM(F43:F47)</f>
        <v>423.94</v>
      </c>
      <c r="G48" s="19"/>
    </row>
    <row r="49" spans="1:7" ht="23" x14ac:dyDescent="0.25">
      <c r="A49" s="2">
        <v>330</v>
      </c>
      <c r="B49" s="3" t="s">
        <v>21</v>
      </c>
      <c r="C49" s="19"/>
      <c r="D49" s="13">
        <v>300</v>
      </c>
      <c r="E49" s="19"/>
      <c r="F49" s="13">
        <v>22</v>
      </c>
      <c r="G49" s="19"/>
    </row>
    <row r="50" spans="1:7" ht="23" x14ac:dyDescent="0.25">
      <c r="A50" s="2">
        <v>332</v>
      </c>
      <c r="B50" s="3" t="s">
        <v>22</v>
      </c>
      <c r="C50" s="19"/>
      <c r="D50" s="13">
        <v>1500</v>
      </c>
      <c r="E50" s="19"/>
      <c r="F50" s="13">
        <v>1226.95</v>
      </c>
      <c r="G50" s="19"/>
    </row>
    <row r="51" spans="1:7" ht="23" x14ac:dyDescent="0.25">
      <c r="A51" s="2">
        <v>333</v>
      </c>
      <c r="B51" s="3" t="s">
        <v>23</v>
      </c>
      <c r="C51" s="19"/>
      <c r="D51" s="13">
        <v>500</v>
      </c>
      <c r="E51" s="19"/>
      <c r="F51" s="13">
        <v>290.87</v>
      </c>
      <c r="G51" s="19"/>
    </row>
    <row r="52" spans="1:7" ht="23" x14ac:dyDescent="0.25">
      <c r="A52" s="2">
        <v>334</v>
      </c>
      <c r="B52" s="3" t="s">
        <v>24</v>
      </c>
      <c r="C52" s="19"/>
      <c r="D52" s="13">
        <v>1000</v>
      </c>
      <c r="E52" s="19"/>
      <c r="F52" s="13">
        <v>715.02</v>
      </c>
      <c r="G52" s="19"/>
    </row>
    <row r="53" spans="1:7" ht="23" x14ac:dyDescent="0.25">
      <c r="A53" s="2">
        <v>339</v>
      </c>
      <c r="B53" s="3" t="s">
        <v>25</v>
      </c>
      <c r="C53" s="19"/>
      <c r="D53" s="22">
        <v>800</v>
      </c>
      <c r="E53" s="19"/>
      <c r="F53" s="22">
        <v>616.88</v>
      </c>
      <c r="G53" s="19"/>
    </row>
    <row r="54" spans="1:7" ht="23" x14ac:dyDescent="0.25">
      <c r="A54" s="2"/>
      <c r="B54" s="4" t="s">
        <v>26</v>
      </c>
      <c r="C54" s="19"/>
      <c r="D54" s="23">
        <f>SUM(D49:D53)</f>
        <v>4100</v>
      </c>
      <c r="E54" s="19"/>
      <c r="F54" s="23">
        <f>SUM(F49:F53)</f>
        <v>2871.7200000000003</v>
      </c>
      <c r="G54" s="19"/>
    </row>
    <row r="55" spans="1:7" ht="23" x14ac:dyDescent="0.25">
      <c r="A55" s="2">
        <v>341</v>
      </c>
      <c r="B55" s="3" t="s">
        <v>27</v>
      </c>
      <c r="C55" s="19"/>
      <c r="D55" s="22">
        <v>150</v>
      </c>
      <c r="E55" s="19"/>
      <c r="F55" s="22">
        <v>0</v>
      </c>
      <c r="G55" s="19"/>
    </row>
    <row r="56" spans="1:7" ht="23" x14ac:dyDescent="0.25">
      <c r="A56" s="2"/>
      <c r="B56" s="4" t="s">
        <v>28</v>
      </c>
      <c r="C56" s="19"/>
      <c r="D56" s="23">
        <f>SUM(D55)</f>
        <v>150</v>
      </c>
      <c r="E56" s="19"/>
      <c r="F56" s="23">
        <f>SUM(F55)</f>
        <v>0</v>
      </c>
      <c r="G56" s="19"/>
    </row>
    <row r="57" spans="1:7" ht="23" x14ac:dyDescent="0.25">
      <c r="A57" s="2">
        <v>351</v>
      </c>
      <c r="B57" s="3" t="s">
        <v>29</v>
      </c>
      <c r="C57" s="19"/>
      <c r="D57" s="13">
        <v>200</v>
      </c>
      <c r="E57" s="19"/>
      <c r="F57" s="13">
        <v>0</v>
      </c>
      <c r="G57" s="19"/>
    </row>
    <row r="58" spans="1:7" ht="23" x14ac:dyDescent="0.25">
      <c r="A58" s="2">
        <v>410</v>
      </c>
      <c r="B58" s="3" t="s">
        <v>34</v>
      </c>
      <c r="C58" s="19"/>
      <c r="D58" s="13">
        <v>1500</v>
      </c>
      <c r="E58" s="19"/>
      <c r="F58" s="13">
        <v>7062.26</v>
      </c>
      <c r="G58" s="19"/>
    </row>
    <row r="59" spans="1:7" ht="23" x14ac:dyDescent="0.25">
      <c r="A59" s="2">
        <v>360</v>
      </c>
      <c r="B59" s="3" t="s">
        <v>30</v>
      </c>
      <c r="C59" s="19"/>
      <c r="D59" s="13">
        <v>5000</v>
      </c>
      <c r="E59" s="19"/>
      <c r="F59" s="13">
        <v>4927.96</v>
      </c>
      <c r="G59" s="19"/>
    </row>
    <row r="60" spans="1:7" ht="23" x14ac:dyDescent="0.25">
      <c r="A60" s="2">
        <v>364</v>
      </c>
      <c r="B60" s="3" t="s">
        <v>31</v>
      </c>
      <c r="C60" s="19"/>
      <c r="D60" s="22">
        <v>250</v>
      </c>
      <c r="E60" s="19"/>
      <c r="F60" s="22">
        <v>0</v>
      </c>
      <c r="G60" s="19"/>
    </row>
    <row r="61" spans="1:7" ht="23" x14ac:dyDescent="0.25">
      <c r="A61" s="2"/>
      <c r="B61" s="4" t="s">
        <v>25</v>
      </c>
      <c r="C61" s="19"/>
      <c r="D61" s="23">
        <f>SUM(D57:D60)</f>
        <v>6950</v>
      </c>
      <c r="E61" s="19"/>
      <c r="F61" s="23">
        <f>SUM(F57:F60)</f>
        <v>11990.220000000001</v>
      </c>
      <c r="G61" s="19"/>
    </row>
    <row r="62" spans="1:7" ht="23" x14ac:dyDescent="0.25">
      <c r="A62" s="21"/>
      <c r="B62" s="1"/>
      <c r="C62" s="19"/>
      <c r="D62" s="13"/>
      <c r="E62" s="19"/>
      <c r="F62" s="13"/>
      <c r="G62" s="19"/>
    </row>
    <row r="63" spans="1:7" ht="23" x14ac:dyDescent="0.25">
      <c r="B63" s="18"/>
      <c r="C63" s="25" t="s">
        <v>42</v>
      </c>
      <c r="D63" s="10">
        <f>SUM(D35+D42+D48+D54+D56+D61)</f>
        <v>32875</v>
      </c>
      <c r="E63" s="20"/>
      <c r="F63" s="10">
        <f>SUM(F35+F42+F48+F54+F61)</f>
        <v>31226.65</v>
      </c>
      <c r="G63" s="19"/>
    </row>
    <row r="64" spans="1:7" ht="23" x14ac:dyDescent="0.25">
      <c r="A64" s="18"/>
      <c r="B64" s="18"/>
      <c r="C64" s="20"/>
      <c r="D64" s="10"/>
      <c r="E64" s="20"/>
      <c r="F64" s="10"/>
      <c r="G64" s="19"/>
    </row>
    <row r="65" spans="1:8" ht="23" x14ac:dyDescent="0.25">
      <c r="A65" s="24"/>
      <c r="B65" s="25"/>
      <c r="C65" s="20"/>
      <c r="D65" s="10"/>
      <c r="E65" s="20"/>
      <c r="F65" s="10"/>
      <c r="G65" s="19"/>
    </row>
    <row r="66" spans="1:8" ht="23" x14ac:dyDescent="0.25">
      <c r="A66" s="18"/>
      <c r="B66" s="18"/>
      <c r="C66" s="18"/>
      <c r="D66" s="18"/>
      <c r="E66" s="18"/>
      <c r="F66" s="18"/>
      <c r="G66" s="20"/>
      <c r="H66" s="18"/>
    </row>
    <row r="67" spans="1:8" ht="23" x14ac:dyDescent="0.25">
      <c r="A67" s="24"/>
      <c r="B67" s="25"/>
      <c r="C67" s="20"/>
      <c r="D67" s="10"/>
      <c r="E67" s="20"/>
      <c r="F67" s="10"/>
      <c r="G67" s="20"/>
      <c r="H67" s="18"/>
    </row>
    <row r="68" spans="1:8" ht="23" x14ac:dyDescent="0.25">
      <c r="A68" s="24"/>
      <c r="B68" s="25"/>
      <c r="C68" s="20"/>
      <c r="D68" s="10"/>
      <c r="E68" s="20"/>
      <c r="F68" s="10"/>
      <c r="G68" s="20"/>
      <c r="H68" s="18"/>
    </row>
    <row r="69" spans="1:8" ht="23" x14ac:dyDescent="0.25">
      <c r="A69" s="24"/>
      <c r="B69" s="25"/>
      <c r="C69" s="20"/>
      <c r="D69" s="10"/>
      <c r="E69" s="20"/>
      <c r="F69" s="10"/>
      <c r="G69" s="20"/>
      <c r="H69" s="18"/>
    </row>
    <row r="70" spans="1:8" ht="23" x14ac:dyDescent="0.25">
      <c r="A70" s="24"/>
      <c r="B70" s="25"/>
      <c r="C70" s="20"/>
      <c r="D70" s="10"/>
      <c r="E70" s="20"/>
      <c r="F70" s="10"/>
      <c r="G70" s="20"/>
      <c r="H70" s="18"/>
    </row>
    <row r="71" spans="1:8" ht="23" x14ac:dyDescent="0.25">
      <c r="A71" s="24"/>
      <c r="B71" s="25"/>
      <c r="C71" s="20"/>
      <c r="D71" s="10"/>
      <c r="E71" s="20"/>
      <c r="F71" s="10"/>
      <c r="G71" s="20"/>
      <c r="H71" s="18"/>
    </row>
    <row r="72" spans="1:8" ht="23" x14ac:dyDescent="0.25">
      <c r="A72" s="24"/>
      <c r="B72" s="25"/>
      <c r="C72" s="20"/>
      <c r="D72" s="10"/>
      <c r="E72" s="20"/>
      <c r="F72" s="10"/>
      <c r="G72" s="20"/>
      <c r="H72" s="18"/>
    </row>
    <row r="73" spans="1:8" ht="23" x14ac:dyDescent="0.25">
      <c r="A73" s="24"/>
      <c r="B73" s="25"/>
      <c r="C73" s="20"/>
      <c r="D73" s="10"/>
      <c r="E73" s="20"/>
      <c r="F73" s="10"/>
      <c r="G73" s="20"/>
      <c r="H73" s="18"/>
    </row>
    <row r="74" spans="1:8" ht="23" x14ac:dyDescent="0.25">
      <c r="A74" s="24"/>
      <c r="B74" s="25"/>
      <c r="C74" s="20"/>
      <c r="D74" s="10"/>
      <c r="E74" s="20"/>
      <c r="F74" s="10"/>
      <c r="G74" s="20"/>
      <c r="H74" s="18"/>
    </row>
    <row r="75" spans="1:8" ht="23" x14ac:dyDescent="0.25">
      <c r="A75" s="24"/>
      <c r="B75" s="25"/>
      <c r="C75" s="20"/>
      <c r="D75" s="10"/>
      <c r="E75" s="20"/>
      <c r="F75" s="10"/>
      <c r="G75" s="20"/>
      <c r="H75" s="18"/>
    </row>
    <row r="76" spans="1:8" ht="23" x14ac:dyDescent="0.25">
      <c r="A76" s="20"/>
      <c r="B76" s="20"/>
      <c r="C76" s="20"/>
      <c r="D76" s="10"/>
      <c r="E76" s="20"/>
      <c r="F76" s="10"/>
      <c r="G76" s="20"/>
      <c r="H76" s="18"/>
    </row>
    <row r="77" spans="1:8" ht="23" x14ac:dyDescent="0.25">
      <c r="A77" s="20"/>
      <c r="B77" s="20"/>
      <c r="C77" s="20"/>
      <c r="D77" s="10"/>
      <c r="E77" s="20"/>
      <c r="F77" s="10"/>
      <c r="G77" s="20"/>
      <c r="H77" s="18"/>
    </row>
    <row r="78" spans="1:8" ht="23" x14ac:dyDescent="0.25">
      <c r="A78" s="20"/>
      <c r="B78" s="20"/>
      <c r="C78" s="20"/>
      <c r="D78" s="10"/>
      <c r="E78" s="20"/>
      <c r="F78" s="20"/>
      <c r="G78" s="20"/>
      <c r="H78" s="18"/>
    </row>
    <row r="79" spans="1:8" ht="23" x14ac:dyDescent="0.25">
      <c r="A79" s="20"/>
      <c r="B79" s="20"/>
      <c r="C79" s="20"/>
      <c r="D79" s="10"/>
      <c r="E79" s="20"/>
      <c r="F79" s="20"/>
      <c r="G79" s="20"/>
      <c r="H79" s="18"/>
    </row>
    <row r="80" spans="1:8" ht="23" x14ac:dyDescent="0.25">
      <c r="A80" s="20"/>
      <c r="B80" s="20"/>
      <c r="C80" s="20"/>
      <c r="D80" s="10"/>
      <c r="E80" s="20"/>
      <c r="F80" s="20"/>
      <c r="G80" s="20"/>
      <c r="H80" s="18"/>
    </row>
    <row r="81" spans="1:8" ht="23" x14ac:dyDescent="0.25">
      <c r="A81" s="20"/>
      <c r="B81" s="20"/>
      <c r="C81" s="20"/>
      <c r="D81" s="10"/>
      <c r="E81" s="20"/>
      <c r="F81" s="20"/>
      <c r="G81" s="20"/>
      <c r="H81" s="18"/>
    </row>
    <row r="82" spans="1:8" ht="23" x14ac:dyDescent="0.25">
      <c r="A82" s="20"/>
      <c r="B82" s="20"/>
      <c r="C82" s="20"/>
      <c r="D82" s="10"/>
      <c r="E82" s="20"/>
      <c r="F82" s="20"/>
      <c r="G82" s="20"/>
      <c r="H82" s="18"/>
    </row>
    <row r="83" spans="1:8" ht="23" x14ac:dyDescent="0.25">
      <c r="A83" s="20"/>
      <c r="B83" s="20"/>
      <c r="C83" s="20"/>
      <c r="D83" s="10"/>
      <c r="E83" s="20"/>
      <c r="F83" s="20"/>
      <c r="G83" s="20"/>
      <c r="H83" s="18"/>
    </row>
    <row r="84" spans="1:8" ht="23" x14ac:dyDescent="0.25">
      <c r="A84" s="20"/>
      <c r="B84" s="20"/>
      <c r="C84" s="20"/>
      <c r="D84" s="10"/>
      <c r="E84" s="20"/>
      <c r="F84" s="20"/>
      <c r="G84" s="20"/>
      <c r="H84" s="18"/>
    </row>
    <row r="85" spans="1:8" ht="23" x14ac:dyDescent="0.25">
      <c r="A85" s="20"/>
      <c r="B85" s="20"/>
      <c r="C85" s="20"/>
      <c r="D85" s="10"/>
      <c r="E85" s="20"/>
      <c r="F85" s="20"/>
      <c r="G85" s="20"/>
      <c r="H85" s="18"/>
    </row>
    <row r="86" spans="1:8" ht="23" x14ac:dyDescent="0.25">
      <c r="A86" s="20"/>
      <c r="B86" s="20"/>
      <c r="C86" s="20"/>
      <c r="D86" s="10"/>
      <c r="E86" s="20"/>
      <c r="F86" s="20"/>
      <c r="G86" s="20"/>
      <c r="H86" s="18"/>
    </row>
    <row r="87" spans="1:8" ht="23" x14ac:dyDescent="0.25">
      <c r="A87" s="20"/>
      <c r="B87" s="20"/>
      <c r="C87" s="20"/>
      <c r="D87" s="10"/>
      <c r="E87" s="20"/>
      <c r="F87" s="20"/>
      <c r="G87" s="20"/>
      <c r="H87" s="18"/>
    </row>
    <row r="88" spans="1:8" ht="23" x14ac:dyDescent="0.25">
      <c r="A88" s="20"/>
      <c r="B88" s="20"/>
      <c r="C88" s="20"/>
      <c r="D88" s="10"/>
      <c r="E88" s="20"/>
      <c r="F88" s="20"/>
      <c r="G88" s="20"/>
      <c r="H88" s="18"/>
    </row>
    <row r="89" spans="1:8" ht="23" x14ac:dyDescent="0.25">
      <c r="A89" s="20"/>
      <c r="B89" s="20"/>
      <c r="C89" s="20"/>
      <c r="D89" s="10"/>
      <c r="E89" s="20"/>
      <c r="F89" s="20"/>
      <c r="G89" s="20"/>
      <c r="H89" s="18"/>
    </row>
    <row r="90" spans="1:8" ht="23" x14ac:dyDescent="0.25">
      <c r="A90" s="20"/>
      <c r="B90" s="20"/>
      <c r="C90" s="20"/>
      <c r="D90" s="10"/>
      <c r="E90" s="20"/>
      <c r="F90" s="20"/>
      <c r="G90" s="20"/>
      <c r="H90" s="18"/>
    </row>
    <row r="91" spans="1:8" ht="23" x14ac:dyDescent="0.25">
      <c r="A91" s="20"/>
      <c r="B91" s="20"/>
      <c r="C91" s="20"/>
      <c r="D91" s="10"/>
      <c r="E91" s="20"/>
      <c r="F91" s="20"/>
      <c r="G91" s="20"/>
      <c r="H91" s="18"/>
    </row>
    <row r="92" spans="1:8" ht="23" x14ac:dyDescent="0.25">
      <c r="A92" s="20"/>
      <c r="B92" s="20"/>
      <c r="C92" s="20"/>
      <c r="D92" s="10"/>
      <c r="E92" s="20"/>
      <c r="F92" s="20"/>
      <c r="G92" s="20"/>
      <c r="H92" s="18"/>
    </row>
    <row r="93" spans="1:8" ht="23" x14ac:dyDescent="0.25">
      <c r="A93" s="20"/>
      <c r="B93" s="20"/>
      <c r="C93" s="20"/>
      <c r="D93" s="10"/>
      <c r="E93" s="20"/>
      <c r="F93" s="20"/>
      <c r="G93" s="20"/>
      <c r="H93" s="18"/>
    </row>
    <row r="94" spans="1:8" ht="23" x14ac:dyDescent="0.25">
      <c r="A94" s="20"/>
      <c r="B94" s="20"/>
      <c r="C94" s="20"/>
      <c r="D94" s="10"/>
      <c r="E94" s="20"/>
      <c r="F94" s="20"/>
      <c r="G94" s="20"/>
      <c r="H94" s="18"/>
    </row>
    <row r="95" spans="1:8" ht="23" x14ac:dyDescent="0.25">
      <c r="A95" s="20"/>
      <c r="B95" s="20"/>
      <c r="C95" s="20"/>
      <c r="D95" s="10"/>
      <c r="E95" s="20"/>
      <c r="F95" s="20"/>
      <c r="G95" s="20"/>
      <c r="H95" s="18"/>
    </row>
    <row r="96" spans="1:8" ht="23" x14ac:dyDescent="0.25">
      <c r="A96" s="20"/>
      <c r="B96" s="20"/>
      <c r="C96" s="20"/>
      <c r="D96" s="20"/>
      <c r="E96" s="20"/>
      <c r="F96" s="20"/>
      <c r="G96" s="20"/>
      <c r="H96" s="18"/>
    </row>
    <row r="97" spans="1:8" ht="23" x14ac:dyDescent="0.25">
      <c r="A97" s="20"/>
      <c r="B97" s="20"/>
      <c r="C97" s="20"/>
      <c r="D97" s="20"/>
      <c r="E97" s="20"/>
      <c r="F97" s="20"/>
      <c r="G97" s="20"/>
      <c r="H97" s="18"/>
    </row>
    <row r="98" spans="1:8" ht="23" x14ac:dyDescent="0.25">
      <c r="A98" s="20"/>
      <c r="B98" s="20"/>
      <c r="C98" s="20"/>
      <c r="D98" s="20"/>
      <c r="E98" s="20"/>
      <c r="F98" s="20"/>
      <c r="G98" s="20"/>
      <c r="H98" s="18"/>
    </row>
    <row r="99" spans="1:8" ht="23" x14ac:dyDescent="0.25">
      <c r="A99" s="20"/>
      <c r="B99" s="20"/>
      <c r="C99" s="20"/>
      <c r="D99" s="20"/>
      <c r="E99" s="20"/>
      <c r="F99" s="20"/>
      <c r="G99" s="20"/>
      <c r="H99" s="18"/>
    </row>
    <row r="100" spans="1:8" ht="23" x14ac:dyDescent="0.25">
      <c r="A100" s="20"/>
      <c r="B100" s="20"/>
      <c r="C100" s="20"/>
      <c r="D100" s="20"/>
      <c r="E100" s="20"/>
      <c r="F100" s="20"/>
      <c r="G100" s="20"/>
      <c r="H100" s="18"/>
    </row>
    <row r="101" spans="1:8" ht="23" x14ac:dyDescent="0.25">
      <c r="A101" s="20"/>
      <c r="B101" s="20"/>
      <c r="C101" s="20"/>
      <c r="D101" s="20"/>
      <c r="E101" s="20"/>
      <c r="F101" s="20"/>
      <c r="G101" s="20"/>
      <c r="H101" s="18"/>
    </row>
    <row r="102" spans="1:8" ht="23" x14ac:dyDescent="0.25">
      <c r="A102" s="20"/>
      <c r="B102" s="20"/>
      <c r="C102" s="20"/>
      <c r="D102" s="20"/>
      <c r="E102" s="20"/>
      <c r="F102" s="20"/>
      <c r="G102" s="20"/>
      <c r="H102" s="18"/>
    </row>
    <row r="103" spans="1:8" ht="23" x14ac:dyDescent="0.25">
      <c r="A103" s="20"/>
      <c r="B103" s="20"/>
      <c r="C103" s="20"/>
      <c r="D103" s="20"/>
      <c r="E103" s="20"/>
      <c r="F103" s="20"/>
      <c r="G103" s="20"/>
      <c r="H103" s="18"/>
    </row>
    <row r="104" spans="1:8" ht="23" x14ac:dyDescent="0.25">
      <c r="A104" s="20"/>
      <c r="B104" s="20"/>
      <c r="C104" s="20"/>
      <c r="D104" s="20"/>
      <c r="E104" s="20"/>
      <c r="F104" s="20"/>
      <c r="G104" s="20"/>
      <c r="H104" s="18"/>
    </row>
    <row r="105" spans="1:8" ht="23" x14ac:dyDescent="0.25">
      <c r="A105" s="20"/>
      <c r="B105" s="20"/>
      <c r="C105" s="20"/>
      <c r="D105" s="20"/>
      <c r="E105" s="20"/>
      <c r="F105" s="20"/>
      <c r="G105" s="20"/>
      <c r="H105" s="18"/>
    </row>
    <row r="106" spans="1:8" ht="23" x14ac:dyDescent="0.25">
      <c r="A106" s="20"/>
      <c r="B106" s="20"/>
      <c r="C106" s="20"/>
      <c r="D106" s="20"/>
      <c r="E106" s="20"/>
      <c r="F106" s="20"/>
      <c r="G106" s="20"/>
      <c r="H106" s="18"/>
    </row>
    <row r="107" spans="1:8" ht="23" x14ac:dyDescent="0.25">
      <c r="A107" s="20"/>
      <c r="B107" s="20"/>
      <c r="C107" s="20"/>
      <c r="D107" s="20"/>
      <c r="E107" s="20"/>
      <c r="F107" s="20"/>
      <c r="G107" s="20"/>
      <c r="H107" s="18"/>
    </row>
    <row r="108" spans="1:8" ht="23" x14ac:dyDescent="0.25">
      <c r="A108" s="20"/>
      <c r="B108" s="20"/>
      <c r="C108" s="20"/>
      <c r="D108" s="20"/>
      <c r="E108" s="20"/>
      <c r="F108" s="20"/>
      <c r="G108" s="20"/>
      <c r="H108" s="18"/>
    </row>
    <row r="109" spans="1:8" ht="23" x14ac:dyDescent="0.25">
      <c r="A109" s="20"/>
      <c r="B109" s="20"/>
      <c r="C109" s="20"/>
      <c r="D109" s="20"/>
      <c r="E109" s="20"/>
      <c r="F109" s="20"/>
      <c r="G109" s="20"/>
      <c r="H109" s="18"/>
    </row>
    <row r="110" spans="1:8" ht="23" x14ac:dyDescent="0.25">
      <c r="A110" s="20"/>
      <c r="B110" s="20"/>
      <c r="C110" s="20"/>
      <c r="D110" s="20"/>
      <c r="E110" s="20"/>
      <c r="F110" s="20"/>
      <c r="G110" s="20"/>
      <c r="H110" s="18"/>
    </row>
    <row r="111" spans="1:8" ht="23" x14ac:dyDescent="0.25">
      <c r="A111" s="20"/>
      <c r="B111" s="20"/>
      <c r="C111" s="20"/>
      <c r="D111" s="20"/>
      <c r="E111" s="20"/>
      <c r="F111" s="20"/>
      <c r="G111" s="20"/>
      <c r="H111" s="18"/>
    </row>
    <row r="112" spans="1:8" ht="23" x14ac:dyDescent="0.25">
      <c r="A112" s="20"/>
      <c r="B112" s="20"/>
      <c r="C112" s="20"/>
      <c r="D112" s="20"/>
      <c r="E112" s="20"/>
      <c r="F112" s="20"/>
      <c r="G112" s="20"/>
      <c r="H112" s="18"/>
    </row>
    <row r="113" spans="1:8" ht="23" x14ac:dyDescent="0.25">
      <c r="A113" s="20"/>
      <c r="B113" s="20"/>
      <c r="C113" s="20"/>
      <c r="D113" s="20"/>
      <c r="E113" s="20"/>
      <c r="F113" s="20"/>
      <c r="G113" s="20"/>
      <c r="H113" s="18"/>
    </row>
    <row r="114" spans="1:8" ht="23" x14ac:dyDescent="0.25">
      <c r="A114" s="20"/>
      <c r="B114" s="20"/>
      <c r="C114" s="20"/>
      <c r="D114" s="20"/>
      <c r="E114" s="20"/>
      <c r="F114" s="20"/>
      <c r="G114" s="20"/>
      <c r="H114" s="18"/>
    </row>
    <row r="115" spans="1:8" ht="23" x14ac:dyDescent="0.25">
      <c r="A115" s="19"/>
      <c r="B115" s="19"/>
      <c r="C115" s="19"/>
      <c r="D115" s="19"/>
      <c r="E115" s="19"/>
      <c r="F115" s="19"/>
      <c r="G115" s="19"/>
    </row>
    <row r="116" spans="1:8" ht="23" x14ac:dyDescent="0.25">
      <c r="A116" s="19"/>
      <c r="B116" s="19"/>
      <c r="C116" s="19"/>
      <c r="D116" s="19"/>
      <c r="E116" s="19"/>
      <c r="F116" s="19"/>
      <c r="G116" s="19"/>
    </row>
    <row r="117" spans="1:8" ht="23" x14ac:dyDescent="0.25">
      <c r="A117" s="19"/>
      <c r="B117" s="19"/>
      <c r="C117" s="19"/>
      <c r="D117" s="19"/>
      <c r="E117" s="19"/>
      <c r="F117" s="19"/>
      <c r="G117" s="19"/>
    </row>
    <row r="118" spans="1:8" ht="23" x14ac:dyDescent="0.25">
      <c r="A118" s="19"/>
      <c r="B118" s="19"/>
      <c r="C118" s="19"/>
      <c r="D118" s="19"/>
      <c r="E118" s="19"/>
      <c r="F118" s="19"/>
      <c r="G118" s="19"/>
    </row>
    <row r="119" spans="1:8" ht="23" x14ac:dyDescent="0.25">
      <c r="A119" s="19"/>
      <c r="B119" s="19"/>
      <c r="C119" s="19"/>
      <c r="D119" s="19"/>
      <c r="E119" s="19"/>
      <c r="F119" s="19"/>
      <c r="G119" s="19"/>
    </row>
    <row r="120" spans="1:8" ht="23" x14ac:dyDescent="0.25">
      <c r="A120" s="19"/>
      <c r="B120" s="19"/>
      <c r="C120" s="19"/>
      <c r="D120" s="19"/>
      <c r="E120" s="19"/>
      <c r="F120" s="19"/>
      <c r="G120" s="19"/>
    </row>
    <row r="121" spans="1:8" ht="23" x14ac:dyDescent="0.25">
      <c r="A121" s="19"/>
      <c r="B121" s="19"/>
      <c r="C121" s="19"/>
      <c r="D121" s="19"/>
      <c r="E121" s="19"/>
      <c r="F121" s="19"/>
      <c r="G121" s="19"/>
    </row>
    <row r="122" spans="1:8" ht="23" x14ac:dyDescent="0.25">
      <c r="A122" s="19"/>
      <c r="B122" s="19"/>
      <c r="C122" s="19"/>
      <c r="D122" s="19"/>
      <c r="E122" s="19"/>
      <c r="F122" s="19"/>
      <c r="G122" s="19"/>
    </row>
    <row r="123" spans="1:8" ht="23" x14ac:dyDescent="0.25">
      <c r="A123" s="19"/>
      <c r="B123" s="19"/>
      <c r="C123" s="19"/>
      <c r="D123" s="19"/>
      <c r="E123" s="19"/>
      <c r="F123" s="19"/>
      <c r="G123" s="19"/>
    </row>
    <row r="124" spans="1:8" ht="23" x14ac:dyDescent="0.25">
      <c r="A124" s="19"/>
      <c r="B124" s="19"/>
      <c r="C124" s="19"/>
      <c r="D124" s="19"/>
      <c r="E124" s="19"/>
      <c r="F124" s="19"/>
      <c r="G124" s="19"/>
    </row>
    <row r="125" spans="1:8" ht="23" x14ac:dyDescent="0.25">
      <c r="A125" s="19"/>
      <c r="B125" s="19"/>
      <c r="C125" s="19"/>
      <c r="D125" s="19"/>
      <c r="E125" s="19"/>
      <c r="F125" s="19"/>
      <c r="G125" s="19"/>
    </row>
    <row r="126" spans="1:8" ht="23" x14ac:dyDescent="0.25">
      <c r="A126" s="19"/>
      <c r="B126" s="19"/>
      <c r="C126" s="19"/>
      <c r="D126" s="19"/>
      <c r="E126" s="19"/>
      <c r="F126" s="19"/>
      <c r="G126" s="19"/>
    </row>
    <row r="127" spans="1:8" ht="23" x14ac:dyDescent="0.25">
      <c r="A127" s="19"/>
      <c r="B127" s="19"/>
      <c r="C127" s="19"/>
      <c r="D127" s="19"/>
      <c r="E127" s="19"/>
      <c r="F127" s="19"/>
      <c r="G127" s="19"/>
    </row>
    <row r="128" spans="1:8" ht="23" x14ac:dyDescent="0.25">
      <c r="A128" s="19"/>
      <c r="B128" s="19"/>
      <c r="C128" s="19"/>
      <c r="D128" s="19"/>
      <c r="E128" s="19"/>
      <c r="F128" s="19"/>
      <c r="G128" s="19"/>
    </row>
    <row r="129" spans="1:7" ht="23" x14ac:dyDescent="0.25">
      <c r="A129" s="19"/>
      <c r="B129" s="19"/>
      <c r="C129" s="19"/>
      <c r="D129" s="19"/>
      <c r="E129" s="19"/>
      <c r="F129" s="19"/>
      <c r="G129" s="19"/>
    </row>
    <row r="130" spans="1:7" ht="23" x14ac:dyDescent="0.25">
      <c r="A130" s="19"/>
      <c r="B130" s="19"/>
      <c r="C130" s="19"/>
      <c r="D130" s="19"/>
      <c r="E130" s="19"/>
      <c r="F13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Iteke Addink</dc:creator>
  <cp:lastModifiedBy>Iteke Addink</cp:lastModifiedBy>
  <dcterms:created xsi:type="dcterms:W3CDTF">2026-01-14T12:49:53Z</dcterms:created>
  <dcterms:modified xsi:type="dcterms:W3CDTF">2026-01-14T14:22:08Z</dcterms:modified>
</cp:coreProperties>
</file>